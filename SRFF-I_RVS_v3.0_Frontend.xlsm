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Input" sheetId="1" state="visible" r:id="rId1"/>
    <sheet xmlns:r="http://schemas.openxmlformats.org/officeDocument/2006/relationships" name="Scorecard" sheetId="2" state="visible" r:id="rId2"/>
    <sheet xmlns:r="http://schemas.openxmlformats.org/officeDocument/2006/relationships" name="Survival Curve" sheetId="3" state="visible" r:id="rId3"/>
    <sheet xmlns:r="http://schemas.openxmlformats.org/officeDocument/2006/relationships" name="Stress Test" sheetId="4" state="visible" r:id="rId4"/>
    <sheet xmlns:r="http://schemas.openxmlformats.org/officeDocument/2006/relationships" name="IC Summary" sheetId="5" state="visible" r:id="rId5"/>
    <sheet xmlns:r="http://schemas.openxmlformats.org/officeDocument/2006/relationships" name="Reference" sheetId="6" state="visible" r:id="rId6"/>
  </sheets>
  <definedNames>
    <definedName name="_xlnm.Print_Area" localSheetId="0">'Input'!$A$1:$G$33</definedName>
    <definedName name="_xlnm.Print_Area" localSheetId="1">'Scorecard'!$A$1:$H$43</definedName>
    <definedName name="_xlnm.Print_Area" localSheetId="2">'Survival Curve'!$A$1:$E$30</definedName>
    <definedName name="_xlnm.Print_Area" localSheetId="3">'Stress Test'!$A$1:$I$33</definedName>
    <definedName name="_xlnm.Print_Area" localSheetId="4">'IC Summary'!$A$1:$G$36</definedName>
    <definedName name="_xlnm.Print_Area" localSheetId="5">'Reference'!$A$1:$E$52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DD-MMM-YYYY"/>
    <numFmt numFmtId="165" formatCode="0.0000"/>
    <numFmt numFmtId="166" formatCode="0.000"/>
  </numFmts>
  <fonts count="21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i val="1"/>
      <color rgb="00002060"/>
      <sz val="11"/>
    </font>
    <font>
      <name val="Calibri"/>
      <b val="1"/>
      <color rgb="00002060"/>
      <sz val="12"/>
    </font>
    <font>
      <name val="Calibri"/>
      <b val="1"/>
      <color rgb="00002060"/>
      <sz val="11"/>
    </font>
    <font>
      <name val="Calibri"/>
      <b val="1"/>
      <color rgb="00000000"/>
      <sz val="11"/>
    </font>
    <font>
      <name val="Calibri"/>
      <sz val="11"/>
    </font>
    <font>
      <name val="Calibri"/>
      <b val="1"/>
      <color rgb="00FFFFFF"/>
      <sz val="11"/>
    </font>
    <font>
      <name val="Calibri"/>
      <b val="1"/>
      <sz val="12"/>
    </font>
    <font>
      <name val="Calibri"/>
      <color rgb="00404040"/>
      <sz val="10"/>
    </font>
    <font>
      <name val="Calibri"/>
      <b val="1"/>
      <sz val="14"/>
    </font>
    <font>
      <name val="Calibri"/>
      <b val="1"/>
      <color rgb="00002060"/>
      <sz val="14"/>
    </font>
    <font>
      <name val="Calibri"/>
      <b val="1"/>
      <sz val="16"/>
    </font>
    <font>
      <name val="Calibri"/>
      <i val="1"/>
      <color rgb="00002060"/>
      <sz val="12"/>
    </font>
    <font>
      <name val="Calibri"/>
      <b val="1"/>
      <sz val="18"/>
    </font>
    <font>
      <name val="Calibri"/>
      <i val="1"/>
      <color rgb="00808080"/>
      <sz val="9"/>
    </font>
    <font>
      <name val="Consolas"/>
      <b val="1"/>
      <sz val="11"/>
    </font>
    <font>
      <name val="Consolas"/>
      <sz val="10"/>
    </font>
    <font>
      <name val="Calibri"/>
      <b val="1"/>
      <color rgb="0000B050"/>
      <sz val="11"/>
    </font>
    <font>
      <name val="Calibri"/>
      <b val="1"/>
      <color rgb="00BF8F00"/>
      <sz val="11"/>
    </font>
    <font>
      <name val="Calibri"/>
      <b val="1"/>
      <color rgb="00FF0000"/>
      <sz val="11"/>
    </font>
  </fonts>
  <fills count="7">
    <fill>
      <patternFill/>
    </fill>
    <fill>
      <patternFill patternType="gray125"/>
    </fill>
    <fill>
      <patternFill patternType="solid">
        <fgColor rgb="00002060"/>
        <bgColor rgb="00002060"/>
      </patternFill>
    </fill>
    <fill>
      <patternFill patternType="solid">
        <fgColor rgb="00D6E4F0"/>
        <bgColor rgb="00D6E4F0"/>
      </patternFill>
    </fill>
    <fill>
      <patternFill patternType="solid">
        <fgColor rgb="00BDD7EE"/>
        <bgColor rgb="00BDD7EE"/>
      </patternFill>
    </fill>
    <fill>
      <patternFill patternType="solid">
        <fgColor rgb="00E2EFDA"/>
        <bgColor rgb="00E2EFDA"/>
      </patternFill>
    </fill>
    <fill>
      <patternFill patternType="solid">
        <fgColor rgb="00FFFFFF"/>
        <bgColor rgb="00FFFFFF"/>
      </patternFill>
    </fill>
  </fills>
  <borders count="10">
    <border>
      <left/>
      <right/>
      <top/>
      <bottom/>
      <diagonal/>
    </border>
    <border>
      <left style="medium"/>
      <right style="medium"/>
      <top style="medium"/>
      <bottom style="medium"/>
    </border>
    <border>
      <left style="thin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  <border>
      <left/>
      <right/>
      <top style="medium"/>
      <bottom/>
      <diagonal/>
    </border>
    <border>
      <left/>
      <right style="medium"/>
      <top style="medium"/>
      <bottom/>
      <diagonal/>
    </border>
    <border>
      <left/>
      <right style="medium"/>
      <top style="medium"/>
      <bottom style="medium"/>
      <diagonal/>
    </border>
  </borders>
  <cellStyleXfs count="1">
    <xf numFmtId="0" fontId="0" fillId="0" borderId="0"/>
  </cellStyleXfs>
  <cellXfs count="63">
    <xf numFmtId="0" fontId="0" fillId="0" borderId="0" pivotButton="0" quotePrefix="0" xfId="0"/>
    <xf numFmtId="0" fontId="1" fillId="2" borderId="1" applyAlignment="1" pivotButton="0" quotePrefix="0" xfId="0">
      <alignment horizontal="center" vertical="center" wrapText="1"/>
    </xf>
    <xf numFmtId="0" fontId="0" fillId="2" borderId="1" pivotButton="0" quotePrefix="0" xfId="0"/>
    <xf numFmtId="0" fontId="2" fillId="3" borderId="0" applyAlignment="1" pivotButton="0" quotePrefix="0" xfId="0">
      <alignment horizontal="center" vertical="center" wrapText="1"/>
    </xf>
    <xf numFmtId="0" fontId="3" fillId="3" borderId="2" applyAlignment="1" pivotButton="0" quotePrefix="0" xfId="0">
      <alignment horizontal="left" vertical="center" wrapText="1"/>
    </xf>
    <xf numFmtId="0" fontId="0" fillId="3" borderId="2" pivotButton="0" quotePrefix="0" xfId="0"/>
    <xf numFmtId="0" fontId="4" fillId="3" borderId="2" applyAlignment="1" pivotButton="0" quotePrefix="0" xfId="0">
      <alignment horizontal="center" vertical="center" wrapText="1"/>
    </xf>
    <xf numFmtId="0" fontId="4" fillId="0" borderId="2" applyAlignment="1" pivotButton="0" quotePrefix="0" xfId="0">
      <alignment horizontal="left" vertical="center" wrapText="1"/>
    </xf>
    <xf numFmtId="0" fontId="5" fillId="4" borderId="1" applyAlignment="1" pivotButton="0" quotePrefix="0" xfId="0">
      <alignment horizontal="left" vertical="center" wrapText="1"/>
    </xf>
    <xf numFmtId="0" fontId="6" fillId="4" borderId="2" applyAlignment="1" pivotButton="0" quotePrefix="0" xfId="0">
      <alignment horizontal="center" vertical="center" wrapText="1"/>
    </xf>
    <xf numFmtId="0" fontId="6" fillId="5" borderId="2" applyAlignment="1" pivotButton="0" quotePrefix="0" xfId="0">
      <alignment horizontal="center" vertical="center" wrapText="1"/>
    </xf>
    <xf numFmtId="164" fontId="5" fillId="4" borderId="1" applyAlignment="1" pivotButton="0" quotePrefix="0" xfId="0">
      <alignment horizontal="left" vertical="center" wrapText="1"/>
    </xf>
    <xf numFmtId="0" fontId="7" fillId="2" borderId="2" applyAlignment="1" pivotButton="0" quotePrefix="0" xfId="0">
      <alignment horizontal="center" vertical="center" wrapText="1"/>
    </xf>
    <xf numFmtId="0" fontId="6" fillId="0" borderId="2" applyAlignment="1" pivotButton="0" quotePrefix="0" xfId="0">
      <alignment horizontal="left" vertical="center" wrapText="1"/>
    </xf>
    <xf numFmtId="4" fontId="5" fillId="4" borderId="1" applyAlignment="1" pivotButton="0" quotePrefix="0" xfId="0">
      <alignment horizontal="right" vertical="center"/>
    </xf>
    <xf numFmtId="165" fontId="8" fillId="5" borderId="2" applyAlignment="1" pivotButton="0" quotePrefix="0" xfId="0">
      <alignment horizontal="right" vertical="center"/>
    </xf>
    <xf numFmtId="165" fontId="8" fillId="5" borderId="2" applyAlignment="1" pivotButton="0" quotePrefix="0" xfId="0">
      <alignment horizontal="center" vertical="center" wrapText="1"/>
    </xf>
    <xf numFmtId="10" fontId="8" fillId="5" borderId="2" applyAlignment="1" pivotButton="0" quotePrefix="0" xfId="0">
      <alignment horizontal="center" vertical="center" wrapText="1"/>
    </xf>
    <xf numFmtId="0" fontId="5" fillId="4" borderId="1" applyAlignment="1" pivotButton="0" quotePrefix="0" xfId="0">
      <alignment horizontal="right" vertical="center"/>
    </xf>
    <xf numFmtId="0" fontId="4" fillId="0" borderId="0" applyAlignment="1" pivotButton="0" quotePrefix="0" xfId="0">
      <alignment horizontal="left" vertical="center" wrapText="1"/>
    </xf>
    <xf numFmtId="0" fontId="9" fillId="0" borderId="0" applyAlignment="1" pivotButton="0" quotePrefix="0" xfId="0">
      <alignment horizontal="left" vertical="center" wrapText="1"/>
    </xf>
    <xf numFmtId="0" fontId="4" fillId="0" borderId="2" pivotButton="0" quotePrefix="0" xfId="0"/>
    <xf numFmtId="0" fontId="8" fillId="5" borderId="2" pivotButton="0" quotePrefix="0" xfId="0"/>
    <xf numFmtId="0" fontId="6" fillId="3" borderId="2" pivotButton="0" quotePrefix="0" xfId="0"/>
    <xf numFmtId="165" fontId="6" fillId="5" borderId="2" pivotButton="0" quotePrefix="0" xfId="0"/>
    <xf numFmtId="165" fontId="6" fillId="0" borderId="2" pivotButton="0" quotePrefix="0" xfId="0"/>
    <xf numFmtId="0" fontId="4" fillId="3" borderId="2" pivotButton="0" quotePrefix="0" xfId="0"/>
    <xf numFmtId="165" fontId="8" fillId="5" borderId="1" pivotButton="0" quotePrefix="0" xfId="0"/>
    <xf numFmtId="10" fontId="8" fillId="5" borderId="1" pivotButton="0" quotePrefix="0" xfId="0"/>
    <xf numFmtId="0" fontId="10" fillId="5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 wrapText="1"/>
    </xf>
    <xf numFmtId="0" fontId="9" fillId="0" borderId="2" pivotButton="0" quotePrefix="0" xfId="0"/>
    <xf numFmtId="165" fontId="9" fillId="0" borderId="2" pivotButton="0" quotePrefix="0" xfId="0"/>
    <xf numFmtId="0" fontId="3" fillId="3" borderId="2" pivotButton="0" quotePrefix="0" xfId="0"/>
    <xf numFmtId="0" fontId="6" fillId="0" borderId="2" applyAlignment="1" pivotButton="0" quotePrefix="0" xfId="0">
      <alignment horizontal="center" vertical="center" wrapText="1"/>
    </xf>
    <xf numFmtId="0" fontId="6" fillId="0" borderId="2" pivotButton="0" quotePrefix="0" xfId="0"/>
    <xf numFmtId="165" fontId="8" fillId="5" borderId="2" pivotButton="0" quotePrefix="0" xfId="0"/>
    <xf numFmtId="165" fontId="9" fillId="5" borderId="2" pivotButton="0" quotePrefix="0" xfId="0"/>
    <xf numFmtId="10" fontId="8" fillId="5" borderId="2" pivotButton="0" quotePrefix="0" xfId="0"/>
    <xf numFmtId="165" fontId="10" fillId="5" borderId="1" pivotButton="0" quotePrefix="0" xfId="0"/>
    <xf numFmtId="0" fontId="11" fillId="3" borderId="1" pivotButton="0" quotePrefix="0" xfId="0"/>
    <xf numFmtId="0" fontId="12" fillId="5" borderId="1" applyAlignment="1" pivotButton="0" quotePrefix="0" xfId="0">
      <alignment horizontal="center" vertical="center" wrapText="1"/>
    </xf>
    <xf numFmtId="0" fontId="4" fillId="0" borderId="0" pivotButton="0" quotePrefix="0" xfId="0"/>
    <xf numFmtId="166" fontId="6" fillId="4" borderId="2" pivotButton="0" quotePrefix="0" xfId="0"/>
    <xf numFmtId="166" fontId="6" fillId="6" borderId="2" pivotButton="0" quotePrefix="0" xfId="0"/>
    <xf numFmtId="10" fontId="6" fillId="5" borderId="2" pivotButton="0" quotePrefix="0" xfId="0"/>
    <xf numFmtId="0" fontId="8" fillId="5" borderId="2" applyAlignment="1" pivotButton="0" quotePrefix="0" xfId="0">
      <alignment horizontal="center" vertical="center" wrapText="1"/>
    </xf>
    <xf numFmtId="0" fontId="13" fillId="3" borderId="0" applyAlignment="1" pivotButton="0" quotePrefix="0" xfId="0">
      <alignment horizontal="center" vertical="center" wrapText="1"/>
    </xf>
    <xf numFmtId="0" fontId="5" fillId="4" borderId="1" pivotButton="0" quotePrefix="0" xfId="0"/>
    <xf numFmtId="0" fontId="11" fillId="0" borderId="1" pivotButton="0" quotePrefix="0" xfId="0"/>
    <xf numFmtId="0" fontId="14" fillId="5" borderId="1" applyAlignment="1" pivotButton="0" quotePrefix="0" xfId="0">
      <alignment horizontal="center" vertical="center" wrapText="1"/>
    </xf>
    <xf numFmtId="0" fontId="0" fillId="0" borderId="9" pivotButton="0" quotePrefix="0" xfId="0"/>
    <xf numFmtId="0" fontId="5" fillId="4" borderId="1" applyAlignment="1" pivotButton="0" quotePrefix="0" xfId="0">
      <alignment horizontal="left" vertical="top" wrapText="1"/>
    </xf>
    <xf numFmtId="0" fontId="15" fillId="0" borderId="0" applyAlignment="1" pivotButton="0" quotePrefix="0" xfId="0">
      <alignment horizontal="center" vertical="center" wrapText="1"/>
    </xf>
    <xf numFmtId="0" fontId="16" fillId="0" borderId="2" pivotButton="0" quotePrefix="0" xfId="0"/>
    <xf numFmtId="0" fontId="0" fillId="0" borderId="5" pivotButton="0" quotePrefix="0" xfId="0"/>
    <xf numFmtId="0" fontId="0" fillId="0" borderId="6" pivotButton="0" quotePrefix="0" xfId="0"/>
    <xf numFmtId="0" fontId="17" fillId="0" borderId="2" pivotButton="0" quotePrefix="0" xfId="0"/>
    <xf numFmtId="0" fontId="18" fillId="0" borderId="2" pivotButton="0" quotePrefix="0" xfId="0"/>
    <xf numFmtId="0" fontId="19" fillId="0" borderId="2" pivotButton="0" quotePrefix="0" xfId="0"/>
    <xf numFmtId="0" fontId="20" fillId="0" borderId="2" pivotButton="0" quotePrefix="0" xfId="0"/>
    <xf numFmtId="0" fontId="18" fillId="0" borderId="2" applyAlignment="1" pivotButton="0" quotePrefix="0" xfId="0">
      <alignment horizontal="center" vertical="center" wrapText="1"/>
    </xf>
    <xf numFmtId="0" fontId="15" fillId="0" borderId="0" pivotButton="0" quotePrefix="0" xfId="0"/>
  </cellXfs>
  <cellStyles count="1">
    <cellStyle name="Normal" xfId="0" builtinId="0" hidden="0"/>
  </cellStyles>
  <dxfs count="12">
    <dxf>
      <font>
        <b val="1"/>
        <color rgb="0000B050"/>
      </font>
      <fill>
        <patternFill>
          <bgColor rgb="00C6EFCE"/>
        </patternFill>
      </fill>
    </dxf>
    <dxf>
      <font>
        <b val="1"/>
        <color rgb="00BF8F00"/>
      </font>
      <fill>
        <patternFill>
          <bgColor rgb="00FFEB9C"/>
        </patternFill>
      </fill>
    </dxf>
    <dxf>
      <font>
        <b val="1"/>
        <color rgb="00FF0000"/>
      </font>
      <fill>
        <patternFill>
          <bgColor rgb="00FFC7CE"/>
        </patternFill>
      </fill>
    </dxf>
    <dxf>
      <font>
        <b val="1"/>
        <color rgb="0000B050"/>
        <sz val="16"/>
      </font>
      <fill>
        <patternFill>
          <bgColor rgb="00C6EFCE"/>
        </patternFill>
      </fill>
    </dxf>
    <dxf>
      <font>
        <b val="1"/>
        <color rgb="00BF8F00"/>
        <sz val="16"/>
      </font>
      <fill>
        <patternFill>
          <bgColor rgb="00FFEB9C"/>
        </patternFill>
      </fill>
    </dxf>
    <dxf>
      <font>
        <b val="1"/>
        <color rgb="00FF0000"/>
        <sz val="16"/>
      </font>
      <fill>
        <patternFill>
          <bgColor rgb="00FFC7CE"/>
        </patternFill>
      </fill>
    </dxf>
    <dxf>
      <fill>
        <patternFill>
          <bgColor rgb="00C6EFCE"/>
        </patternFill>
      </fill>
    </dxf>
    <dxf>
      <fill>
        <patternFill>
          <bgColor rgb="00FFEB9C"/>
        </patternFill>
      </fill>
    </dxf>
    <dxf>
      <fill>
        <patternFill>
          <bgColor rgb="00FFC7CE"/>
        </patternFill>
      </fill>
    </dxf>
    <dxf>
      <font>
        <b val="1"/>
        <color rgb="0000B050"/>
        <sz val="18"/>
      </font>
      <fill>
        <patternFill>
          <bgColor rgb="00C6EFCE"/>
        </patternFill>
      </fill>
    </dxf>
    <dxf>
      <font>
        <b val="1"/>
        <color rgb="00BF8F00"/>
        <sz val="18"/>
      </font>
      <fill>
        <patternFill>
          <bgColor rgb="00FFEB9C"/>
        </patternFill>
      </fill>
    </dxf>
    <dxf>
      <font>
        <b val="1"/>
        <color rgb="00FF0000"/>
        <sz val="18"/>
      </font>
      <fill>
        <patternFill>
          <bgColor rgb="00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5-Year Cumulative Survival Probability</a:t>
            </a:r>
          </a:p>
        </rich>
      </tx>
    </title>
    <plotArea>
      <lineChart>
        <grouping val="standard"/>
        <ser>
          <idx val="0"/>
          <order val="0"/>
          <tx>
            <strRef>
              <f>'Survival Curve'!C3</f>
            </strRef>
          </tx>
          <spPr>
            <a:ln xmlns:a="http://schemas.openxmlformats.org/drawingml/2006/main" w="28000">
              <a:solidFill>
                <a:srgbClr val="002060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'Survival Curve'!$B$4:$B$9</f>
            </numRef>
          </cat>
          <val>
            <numRef>
              <f>'Survival Curve'!$C$4:$C$9</f>
            </numRef>
          </val>
          <smooth val="1"/>
        </ser>
        <ser>
          <idx val="1"/>
          <order val="1"/>
          <tx>
            <strRef>
              <f>'Survival Curve'!D3</f>
            </strRef>
          </tx>
          <spPr>
            <a:ln xmlns:a="http://schemas.openxmlformats.org/drawingml/2006/main" w="14000">
              <a:solidFill>
                <a:srgbClr val="00B050"/>
              </a:solidFill>
              <a:prstDash val="dash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'Survival Curve'!$B$4:$B$9</f>
            </numRef>
          </cat>
          <val>
            <numRef>
              <f>'Survival Curve'!$D$4:$D$9</f>
            </numRef>
          </val>
        </ser>
        <ser>
          <idx val="2"/>
          <order val="2"/>
          <tx>
            <strRef>
              <f>'Survival Curve'!E3</f>
            </strRef>
          </tx>
          <spPr>
            <a:ln xmlns:a="http://schemas.openxmlformats.org/drawingml/2006/main" w="14000">
              <a:solidFill>
                <a:srgbClr val="FFC000"/>
              </a:solidFill>
              <a:prstDash val="dash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'Survival Curve'!$B$4:$B$9</f>
            </numRef>
          </cat>
          <val>
            <numRef>
              <f>'Survival Curve'!$E$4:$E$9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ax val="1.05"/>
          <min val="0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Survival Probability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1</col>
      <colOff>0</colOff>
      <row>10</row>
      <rowOff>0</rowOff>
    </from>
    <ext cx="7920000" cy="504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002060"/>
    <outlinePr summaryBelow="1" summaryRight="1"/>
    <pageSetUpPr/>
  </sheetPr>
  <dimension ref="A1:G33"/>
  <sheetViews>
    <sheetView workbookViewId="0">
      <selection activeCell="A1" sqref="A1"/>
    </sheetView>
  </sheetViews>
  <sheetFormatPr baseColWidth="8" defaultRowHeight="15"/>
  <cols>
    <col width="3" customWidth="1" min="1" max="1"/>
    <col width="35" customWidth="1" min="2" max="2"/>
    <col width="20" customWidth="1" min="3" max="3"/>
    <col width="20" customWidth="1" min="4" max="4"/>
    <col width="20" customWidth="1" min="5" max="5"/>
    <col width="25" customWidth="1" min="6" max="6"/>
    <col width="20" customWidth="1" min="7" max="7"/>
  </cols>
  <sheetData>
    <row r="1">
      <c r="A1" s="1" t="inlineStr">
        <is>
          <t>SRFF-I RVS v3.0 — Recovery Viability Scorecard</t>
        </is>
      </c>
      <c r="B1" s="2" t="n"/>
      <c r="C1" s="2" t="n"/>
      <c r="D1" s="2" t="n"/>
      <c r="E1" s="2" t="n"/>
      <c r="F1" s="2" t="n"/>
      <c r="G1" s="2" t="n"/>
    </row>
    <row r="2">
      <c r="A2" s="3" t="inlineStr">
        <is>
          <t>Sohar International Bank — Investment Committee Screening Tool</t>
        </is>
      </c>
    </row>
    <row r="4">
      <c r="B4" s="4" t="inlineStr">
        <is>
          <t>COMPANY INFORMATION</t>
        </is>
      </c>
      <c r="C4" s="5" t="n"/>
      <c r="D4" s="5" t="n"/>
      <c r="F4" s="6" t="inlineStr">
        <is>
          <t>LEGEND</t>
        </is>
      </c>
    </row>
    <row r="5">
      <c r="B5" s="7" t="inlineStr">
        <is>
          <t>Company Name:</t>
        </is>
      </c>
      <c r="C5" s="8" t="inlineStr"/>
      <c r="F5" s="9" t="inlineStr">
        <is>
          <t>User Input</t>
        </is>
      </c>
    </row>
    <row r="6">
      <c r="B6" s="7" t="inlineStr">
        <is>
          <t>Analyst:</t>
        </is>
      </c>
      <c r="C6" s="8" t="inlineStr"/>
      <c r="F6" s="10" t="inlineStr">
        <is>
          <t>Auto-Calculated</t>
        </is>
      </c>
    </row>
    <row r="7">
      <c r="B7" s="7" t="inlineStr">
        <is>
          <t>Date:</t>
        </is>
      </c>
      <c r="C7" s="11" t="inlineStr"/>
    </row>
    <row r="8">
      <c r="B8" s="7" t="inlineStr">
        <is>
          <t>Sector:</t>
        </is>
      </c>
      <c r="C8" s="8" t="inlineStr"/>
    </row>
    <row r="10">
      <c r="B10" s="4" t="inlineStr">
        <is>
          <t>RVS VARIABLE INPUTS (V1 – V6)</t>
        </is>
      </c>
      <c r="C10" s="5" t="n"/>
      <c r="D10" s="5" t="n"/>
      <c r="E10" s="5" t="n"/>
      <c r="F10" s="5" t="n"/>
    </row>
    <row r="11">
      <c r="B11" s="12" t="inlineStr">
        <is>
          <t>Variable</t>
        </is>
      </c>
      <c r="C11" s="12" t="inlineStr">
        <is>
          <t>Description</t>
        </is>
      </c>
      <c r="D11" s="12" t="inlineStr">
        <is>
          <t>Numerator ($M)</t>
        </is>
      </c>
      <c r="E11" s="12" t="inlineStr">
        <is>
          <t>Denominator ($M)</t>
        </is>
      </c>
      <c r="F11" s="12" t="inlineStr">
        <is>
          <t>Ratio (Auto)</t>
        </is>
      </c>
    </row>
    <row r="12">
      <c r="B12" s="6" t="inlineStr">
        <is>
          <t>V1</t>
        </is>
      </c>
      <c r="C12" s="13" t="inlineStr">
        <is>
          <t>Working Capital / Total Assets</t>
        </is>
      </c>
      <c r="D12" s="14" t="n"/>
      <c r="E12" s="14" t="n"/>
      <c r="F12" s="15">
        <f>IF(AND(D12&lt;&gt;"",E12&lt;&gt;"",E12&lt;&gt;0),D12/E12,0)</f>
        <v/>
      </c>
    </row>
    <row r="13">
      <c r="B13" s="6" t="inlineStr">
        <is>
          <t>V2</t>
        </is>
      </c>
      <c r="C13" s="13" t="inlineStr">
        <is>
          <t>Retained Earnings / Total Assets</t>
        </is>
      </c>
      <c r="D13" s="14" t="n"/>
      <c r="E13" s="14" t="n"/>
      <c r="F13" s="15">
        <f>IF(AND(D13&lt;&gt;"",E13&lt;&gt;"",E13&lt;&gt;0),D13/E13,0)</f>
        <v/>
      </c>
    </row>
    <row r="14">
      <c r="B14" s="6" t="inlineStr">
        <is>
          <t>V3</t>
        </is>
      </c>
      <c r="C14" s="13" t="inlineStr">
        <is>
          <t>EBITDA / Total Debt</t>
        </is>
      </c>
      <c r="D14" s="14" t="n"/>
      <c r="E14" s="14" t="n"/>
      <c r="F14" s="15">
        <f>IF(AND(D14&lt;&gt;"",E14&lt;&gt;"",E14&lt;&gt;0),D14/E14,0)</f>
        <v/>
      </c>
    </row>
    <row r="15">
      <c r="B15" s="6" t="inlineStr">
        <is>
          <t>V4</t>
        </is>
      </c>
      <c r="C15" s="13" t="inlineStr">
        <is>
          <t>Operating Cash Flow / Total Debt</t>
        </is>
      </c>
      <c r="D15" s="14" t="n"/>
      <c r="E15" s="14" t="n"/>
      <c r="F15" s="15">
        <f>IF(AND(D15&lt;&gt;"",E15&lt;&gt;"",E15&lt;&gt;0),D15/E15,0)</f>
        <v/>
      </c>
    </row>
    <row r="16">
      <c r="B16" s="6" t="inlineStr">
        <is>
          <t>V5</t>
        </is>
      </c>
      <c r="C16" s="13" t="inlineStr">
        <is>
          <t>Collateral Value / Total Liabilities</t>
        </is>
      </c>
      <c r="D16" s="14" t="n"/>
      <c r="E16" s="14" t="n"/>
      <c r="F16" s="15">
        <f>IF(AND(D16&lt;&gt;"",E16&lt;&gt;"",E16&lt;&gt;0),D16/E16,0)</f>
        <v/>
      </c>
    </row>
    <row r="17">
      <c r="B17" s="6" t="inlineStr">
        <is>
          <t>V6</t>
        </is>
      </c>
      <c r="C17" s="13" t="inlineStr">
        <is>
          <t>Revenue / Total Assets</t>
        </is>
      </c>
      <c r="D17" s="14" t="n"/>
      <c r="E17" s="14" t="n"/>
      <c r="F17" s="15">
        <f>IF(AND(D17&lt;&gt;"",E17&lt;&gt;"",E17&lt;&gt;0),D17/E17,0)</f>
        <v/>
      </c>
    </row>
    <row r="19">
      <c r="B19" s="4" t="inlineStr">
        <is>
          <t>RVS SCORE (AUTO-CALCULATED)</t>
        </is>
      </c>
      <c r="C19" s="5" t="n"/>
      <c r="D19" s="5" t="n"/>
      <c r="E19" s="5" t="n"/>
      <c r="F19" s="5" t="n"/>
    </row>
    <row r="20">
      <c r="B20" s="7" t="inlineStr">
        <is>
          <t>RVS Linear Score:</t>
        </is>
      </c>
      <c r="C20" s="16">
        <f>2.5445+0.2506*F12+1.7070*F13+0.7426*F14+0.7262*F15+0.8278*F16+(-1.8122)*F17</f>
        <v/>
      </c>
    </row>
    <row r="21">
      <c r="B21" s="7" t="inlineStr">
        <is>
          <t>P(Recovery):</t>
        </is>
      </c>
      <c r="C21" s="17">
        <f>1/(1+EXP(-C20))</f>
        <v/>
      </c>
    </row>
    <row r="23">
      <c r="B23" s="4" t="inlineStr">
        <is>
          <t>OPTIONAL: 5-YEAR PROJECTION ASSUMPTIONS</t>
        </is>
      </c>
      <c r="C23" s="5" t="n"/>
      <c r="D23" s="5" t="n"/>
      <c r="E23" s="5" t="n"/>
      <c r="F23" s="5" t="n"/>
    </row>
    <row r="24">
      <c r="B24" s="7" t="inlineStr">
        <is>
          <t>DSCR (Year 1):</t>
        </is>
      </c>
      <c r="C24" s="18" t="n"/>
    </row>
    <row r="25">
      <c r="B25" s="7" t="inlineStr">
        <is>
          <t>EBITDA Margin (%):</t>
        </is>
      </c>
      <c r="C25" s="18" t="n"/>
    </row>
    <row r="26">
      <c r="B26" s="7" t="inlineStr">
        <is>
          <t>Revenue Growth (%):</t>
        </is>
      </c>
      <c r="C26" s="18" t="n"/>
    </row>
    <row r="27">
      <c r="B27" s="7" t="inlineStr">
        <is>
          <t>Capex / Revenue (%):</t>
        </is>
      </c>
      <c r="C27" s="18" t="n"/>
    </row>
    <row r="28">
      <c r="B28" s="7" t="inlineStr">
        <is>
          <t>Debt Repayment Schedule:</t>
        </is>
      </c>
      <c r="C28" s="18" t="n"/>
    </row>
    <row r="30">
      <c r="B30" s="19" t="inlineStr">
        <is>
          <t>Notes:</t>
        </is>
      </c>
    </row>
    <row r="31">
      <c r="B31" s="20" t="inlineStr">
        <is>
          <t>• Enter financial data in millions ($M). Ratios are auto-calculated.</t>
        </is>
      </c>
    </row>
    <row r="32">
      <c r="B32" s="20" t="inlineStr">
        <is>
          <t>• Blue cells = user input. Grey cells = auto-calculated. Do not edit grey cells.</t>
        </is>
      </c>
    </row>
    <row r="33">
      <c r="B33" s="20" t="inlineStr">
        <is>
          <t>• Navigate to 'Scorecard' sheet for full RVS v3.0 analysis after entering inputs.</t>
        </is>
      </c>
    </row>
  </sheetData>
  <mergeCells count="6">
    <mergeCell ref="A1:G1"/>
    <mergeCell ref="B10:F10"/>
    <mergeCell ref="B4:D4"/>
    <mergeCell ref="B19:F19"/>
    <mergeCell ref="A2:G2"/>
    <mergeCell ref="B23:F23"/>
  </mergeCells>
  <pageMargins left="0.75" right="0.75" top="1" bottom="1" header="0.5" footer="0.5"/>
  <pageSetup orientation="landscape" paperSize="9"/>
</worksheet>
</file>

<file path=xl/worksheets/sheet2.xml><?xml version="1.0" encoding="utf-8"?>
<worksheet xmlns="http://schemas.openxmlformats.org/spreadsheetml/2006/main">
  <sheetPr>
    <tabColor rgb="00003366"/>
    <outlinePr summaryBelow="1" summaryRight="1"/>
    <pageSetUpPr/>
  </sheetPr>
  <dimension ref="A1:H43"/>
  <sheetViews>
    <sheetView workbookViewId="0">
      <selection activeCell="A1" sqref="A1"/>
    </sheetView>
  </sheetViews>
  <sheetFormatPr baseColWidth="8" defaultRowHeight="15"/>
  <cols>
    <col width="3" customWidth="1" min="1" max="1"/>
    <col width="35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>
      <c r="A1" s="1" t="inlineStr">
        <is>
          <t>SRFF-I RVS v3.0 — Scorecard &amp; Hazard Analysis</t>
        </is>
      </c>
      <c r="B1" s="2" t="n"/>
      <c r="C1" s="2" t="n"/>
      <c r="D1" s="2" t="n"/>
      <c r="E1" s="2" t="n"/>
      <c r="F1" s="2" t="n"/>
      <c r="G1" s="2" t="n"/>
      <c r="H1" s="2" t="n"/>
    </row>
    <row r="3">
      <c r="B3" s="4" t="inlineStr">
        <is>
          <t>SECTION A: LOGISTIC REGRESSION (RVS v2.0)</t>
        </is>
      </c>
      <c r="C3" s="5" t="n"/>
      <c r="D3" s="5" t="n"/>
      <c r="E3" s="5" t="n"/>
    </row>
    <row r="4">
      <c r="B4" s="21" t="inlineStr">
        <is>
          <t>Company:</t>
        </is>
      </c>
      <c r="C4" s="22">
        <f>Input!C5</f>
        <v/>
      </c>
    </row>
    <row r="6">
      <c r="B6" s="12" t="inlineStr">
        <is>
          <t>Variable</t>
        </is>
      </c>
      <c r="C6" s="12" t="inlineStr">
        <is>
          <t>Value</t>
        </is>
      </c>
      <c r="D6" s="12" t="inlineStr">
        <is>
          <t>Coefficient</t>
        </is>
      </c>
      <c r="E6" s="12" t="inlineStr">
        <is>
          <t>Contribution</t>
        </is>
      </c>
    </row>
    <row r="7">
      <c r="B7" s="23" t="inlineStr">
        <is>
          <t>V1: WC/TA</t>
        </is>
      </c>
      <c r="C7" s="24">
        <f>Input!F12</f>
        <v/>
      </c>
      <c r="D7" s="25" t="n">
        <v>0.2506</v>
      </c>
      <c r="E7" s="24">
        <f>C7*D7</f>
        <v/>
      </c>
    </row>
    <row r="8">
      <c r="B8" s="23" t="inlineStr">
        <is>
          <t>V2: RE/TA</t>
        </is>
      </c>
      <c r="C8" s="24">
        <f>Input!F13</f>
        <v/>
      </c>
      <c r="D8" s="25" t="n">
        <v>1.707</v>
      </c>
      <c r="E8" s="24">
        <f>C8*D8</f>
        <v/>
      </c>
    </row>
    <row r="9">
      <c r="B9" s="23" t="inlineStr">
        <is>
          <t>V3: EBITDA/TD</t>
        </is>
      </c>
      <c r="C9" s="24">
        <f>Input!F14</f>
        <v/>
      </c>
      <c r="D9" s="25" t="n">
        <v>0.7426</v>
      </c>
      <c r="E9" s="24">
        <f>C9*D9</f>
        <v/>
      </c>
    </row>
    <row r="10">
      <c r="B10" s="23" t="inlineStr">
        <is>
          <t>V4: OCF/TD</t>
        </is>
      </c>
      <c r="C10" s="24">
        <f>Input!F15</f>
        <v/>
      </c>
      <c r="D10" s="25" t="n">
        <v>0.7262</v>
      </c>
      <c r="E10" s="24">
        <f>C10*D10</f>
        <v/>
      </c>
    </row>
    <row r="11">
      <c r="B11" s="23" t="inlineStr">
        <is>
          <t>V5: CV/TL</t>
        </is>
      </c>
      <c r="C11" s="24">
        <f>Input!F16</f>
        <v/>
      </c>
      <c r="D11" s="25" t="n">
        <v>0.8278</v>
      </c>
      <c r="E11" s="24">
        <f>C11*D11</f>
        <v/>
      </c>
    </row>
    <row r="12">
      <c r="B12" s="23" t="inlineStr">
        <is>
          <t>V6: Rev/TA</t>
        </is>
      </c>
      <c r="C12" s="24">
        <f>Input!F17</f>
        <v/>
      </c>
      <c r="D12" s="25" t="n">
        <v>-1.8122</v>
      </c>
      <c r="E12" s="24">
        <f>C12*D12</f>
        <v/>
      </c>
    </row>
    <row r="13">
      <c r="B13" s="21" t="inlineStr">
        <is>
          <t>Intercept:</t>
        </is>
      </c>
      <c r="D13" s="25" t="n">
        <v>2.5445</v>
      </c>
    </row>
    <row r="14">
      <c r="B14" s="26" t="inlineStr">
        <is>
          <t>RVS Linear Score (Z):</t>
        </is>
      </c>
      <c r="C14" s="27">
        <f>D13+SUM(E7:E12)</f>
        <v/>
      </c>
    </row>
    <row r="15">
      <c r="B15" s="26" t="inlineStr">
        <is>
          <t>P(Recovery) — LR:</t>
        </is>
      </c>
      <c r="C15" s="28">
        <f>1/(1+EXP(-C14))</f>
        <v/>
      </c>
    </row>
    <row r="16">
      <c r="B16" s="26" t="inlineStr">
        <is>
          <t>LR Verdict:</t>
        </is>
      </c>
      <c r="C16" s="29">
        <f>IF(C15&gt;=0.65,"GO",IF(C15&gt;=0.50,"CONDITIONAL","NO-GO"))</f>
        <v/>
      </c>
    </row>
    <row r="17">
      <c r="B17" s="26" t="inlineStr">
        <is>
          <t>Zone Classification:</t>
        </is>
      </c>
      <c r="C17" s="30">
        <f>IF(C14&gt;6,"Strong (RVS &gt; 6.0)",IF(C14&gt;=3.5,"Conditional (3.5-6.0)","Reject (&lt; 3.5)"))</f>
        <v/>
      </c>
    </row>
    <row r="19">
      <c r="B19" s="4" t="inlineStr">
        <is>
          <t>SECTION B: DISCRETE-TIME HAZARD MODEL (SHUMWAY 2001)</t>
        </is>
      </c>
      <c r="C19" s="5" t="n"/>
      <c r="D19" s="5" t="n"/>
      <c r="E19" s="5" t="n"/>
      <c r="F19" s="5" t="n"/>
      <c r="G19" s="5" t="n"/>
      <c r="H19" s="5" t="n"/>
    </row>
    <row r="20">
      <c r="B20" s="21" t="inlineStr">
        <is>
          <t>Hazard Model Coefficients:</t>
        </is>
      </c>
      <c r="G20" s="12" t="inlineStr">
        <is>
          <t>Hazard Coef</t>
        </is>
      </c>
      <c r="H20" s="12" t="inlineStr">
        <is>
          <t>Value</t>
        </is>
      </c>
    </row>
    <row r="21">
      <c r="G21" s="31" t="inlineStr">
        <is>
          <t>Intercept</t>
        </is>
      </c>
      <c r="H21" s="32" t="n">
        <v>-1.9295</v>
      </c>
    </row>
    <row r="22">
      <c r="G22" s="31" t="inlineStr">
        <is>
          <t>V1</t>
        </is>
      </c>
      <c r="H22" s="32" t="n">
        <v>-0.2312</v>
      </c>
    </row>
    <row r="23">
      <c r="G23" s="31" t="inlineStr">
        <is>
          <t>V2</t>
        </is>
      </c>
      <c r="H23" s="32" t="n">
        <v>0.3298</v>
      </c>
    </row>
    <row r="24">
      <c r="G24" s="31" t="inlineStr">
        <is>
          <t>V3</t>
        </is>
      </c>
      <c r="H24" s="32" t="n">
        <v>0.7437</v>
      </c>
    </row>
    <row r="25">
      <c r="G25" s="31" t="inlineStr">
        <is>
          <t>V4</t>
        </is>
      </c>
      <c r="H25" s="32" t="n">
        <v>-7.1443</v>
      </c>
    </row>
    <row r="26">
      <c r="G26" s="31" t="inlineStr">
        <is>
          <t>V5</t>
        </is>
      </c>
      <c r="H26" s="32" t="n">
        <v>-27.7134</v>
      </c>
    </row>
    <row r="27">
      <c r="G27" s="31" t="inlineStr">
        <is>
          <t>V6</t>
        </is>
      </c>
      <c r="H27" s="32" t="n">
        <v>3.864</v>
      </c>
    </row>
    <row r="28">
      <c r="G28" s="31" t="inlineStr">
        <is>
          <t>TimeDummy</t>
        </is>
      </c>
      <c r="H28" s="32" t="n">
        <v>-0.884</v>
      </c>
    </row>
    <row r="29">
      <c r="G29" s="31" t="inlineStr">
        <is>
          <t>COVID_Shock</t>
        </is>
      </c>
      <c r="H29" s="32" t="n">
        <v>3.8256</v>
      </c>
    </row>
    <row r="30">
      <c r="B30" s="33" t="inlineStr">
        <is>
          <t>5-Year Survival Projection (Conservative Decay: -2%/yr)</t>
        </is>
      </c>
      <c r="C30" s="5" t="n"/>
      <c r="D30" s="5" t="n"/>
      <c r="E30" s="5" t="n"/>
      <c r="F30" s="5" t="n"/>
      <c r="G30" s="5" t="n"/>
      <c r="H30" s="5" t="n"/>
    </row>
    <row r="31">
      <c r="B31" s="12" t="inlineStr">
        <is>
          <t>Year</t>
        </is>
      </c>
      <c r="C31" s="12" t="inlineStr">
        <is>
          <t>Decay</t>
        </is>
      </c>
      <c r="D31" s="12" t="inlineStr">
        <is>
          <t>Period Hazard h(t)</t>
        </is>
      </c>
      <c r="E31" s="12" t="inlineStr">
        <is>
          <t>Survival S(t)</t>
        </is>
      </c>
      <c r="F31" s="12" t="inlineStr">
        <is>
          <t>Cumul. Survival</t>
        </is>
      </c>
      <c r="G31" s="12" t="inlineStr">
        <is>
          <t>Z_hazard</t>
        </is>
      </c>
      <c r="H31" s="12" t="inlineStr">
        <is>
          <t>COVID</t>
        </is>
      </c>
    </row>
    <row r="32">
      <c r="B32" s="34" t="n">
        <v>0</v>
      </c>
      <c r="C32" s="25" t="n">
        <v>1</v>
      </c>
      <c r="D32" s="35" t="inlineStr"/>
      <c r="E32" s="24" t="n">
        <v>1</v>
      </c>
      <c r="F32" s="24" t="n">
        <v>1</v>
      </c>
    </row>
    <row r="33">
      <c r="B33" s="34" t="n">
        <v>1</v>
      </c>
      <c r="C33" s="25">
        <f>1-0.02*(1-1)</f>
        <v/>
      </c>
      <c r="D33" s="24">
        <f>MAX(0.001,MIN(0.95,1/(1+EXP(-G33))))</f>
        <v/>
      </c>
      <c r="E33" s="24">
        <f>1-D33</f>
        <v/>
      </c>
      <c r="F33" s="36">
        <f>F32*E33</f>
        <v/>
      </c>
      <c r="G33" s="37">
        <f>$H$21+$H$22*Input!$F$12*C33+$H$23*Input!$F$13*C33+$H$24*Input!$F$14*C33+$H$25*Input!$F$15*C33+$H$26*Input!$F$16*C33+$H$27*Input!$F$17*C33+$H$28*1+$H$29*H33</f>
        <v/>
      </c>
      <c r="H33" s="34" t="n">
        <v>0</v>
      </c>
    </row>
    <row r="34">
      <c r="B34" s="34" t="n">
        <v>2</v>
      </c>
      <c r="C34" s="25">
        <f>1-0.02*(2-1)</f>
        <v/>
      </c>
      <c r="D34" s="24">
        <f>MAX(0.001,MIN(0.95,1/(1+EXP(-G34))))</f>
        <v/>
      </c>
      <c r="E34" s="24">
        <f>1-D34</f>
        <v/>
      </c>
      <c r="F34" s="36">
        <f>F33*E34</f>
        <v/>
      </c>
      <c r="G34" s="37">
        <f>$H$21+$H$22*Input!$F$12*C34+$H$23*Input!$F$13*C34+$H$24*Input!$F$14*C34+$H$25*Input!$F$15*C34+$H$26*Input!$F$16*C34+$H$27*Input!$F$17*C34+$H$28*2+$H$29*H34</f>
        <v/>
      </c>
      <c r="H34" s="34" t="n">
        <v>1</v>
      </c>
    </row>
    <row r="35">
      <c r="B35" s="34" t="n">
        <v>3</v>
      </c>
      <c r="C35" s="25">
        <f>1-0.02*(3-1)</f>
        <v/>
      </c>
      <c r="D35" s="24">
        <f>MAX(0.001,MIN(0.95,1/(1+EXP(-G35))))</f>
        <v/>
      </c>
      <c r="E35" s="24">
        <f>1-D35</f>
        <v/>
      </c>
      <c r="F35" s="36">
        <f>F34*E35</f>
        <v/>
      </c>
      <c r="G35" s="37">
        <f>$H$21+$H$22*Input!$F$12*C35+$H$23*Input!$F$13*C35+$H$24*Input!$F$14*C35+$H$25*Input!$F$15*C35+$H$26*Input!$F$16*C35+$H$27*Input!$F$17*C35+$H$28*3+$H$29*H35</f>
        <v/>
      </c>
      <c r="H35" s="34" t="n">
        <v>1</v>
      </c>
    </row>
    <row r="36">
      <c r="B36" s="34" t="n">
        <v>4</v>
      </c>
      <c r="C36" s="25">
        <f>1-0.02*(4-1)</f>
        <v/>
      </c>
      <c r="D36" s="24">
        <f>MAX(0.001,MIN(0.95,1/(1+EXP(-G36))))</f>
        <v/>
      </c>
      <c r="E36" s="24">
        <f>1-D36</f>
        <v/>
      </c>
      <c r="F36" s="36">
        <f>F35*E36</f>
        <v/>
      </c>
      <c r="G36" s="37">
        <f>$H$21+$H$22*Input!$F$12*C36+$H$23*Input!$F$13*C36+$H$24*Input!$F$14*C36+$H$25*Input!$F$15*C36+$H$26*Input!$F$16*C36+$H$27*Input!$F$17*C36+$H$28*4+$H$29*H36</f>
        <v/>
      </c>
      <c r="H36" s="34" t="n">
        <v>0</v>
      </c>
    </row>
    <row r="37">
      <c r="B37" s="34" t="n">
        <v>5</v>
      </c>
      <c r="C37" s="25">
        <f>1-0.02*(5-1)</f>
        <v/>
      </c>
      <c r="D37" s="24">
        <f>MAX(0.001,MIN(0.95,1/(1+EXP(-G37))))</f>
        <v/>
      </c>
      <c r="E37" s="24">
        <f>1-D37</f>
        <v/>
      </c>
      <c r="F37" s="36">
        <f>F36*E37</f>
        <v/>
      </c>
      <c r="G37" s="37">
        <f>$H$21+$H$22*Input!$F$12*C37+$H$23*Input!$F$13*C37+$H$24*Input!$F$14*C37+$H$25*Input!$F$15*C37+$H$26*Input!$F$16*C37+$H$27*Input!$F$17*C37+$H$28*5+$H$29*H37</f>
        <v/>
      </c>
      <c r="H37" s="34" t="n">
        <v>0</v>
      </c>
    </row>
    <row r="39">
      <c r="B39" s="4" t="inlineStr">
        <is>
          <t>SECTION C: COMPOSITE RVS V3.0 SCORE</t>
        </is>
      </c>
      <c r="C39" s="5" t="n"/>
      <c r="D39" s="5" t="n"/>
      <c r="E39" s="5" t="n"/>
      <c r="F39" s="5" t="n"/>
    </row>
    <row r="40">
      <c r="B40" s="21" t="inlineStr">
        <is>
          <t>LR P(Recovery):</t>
        </is>
      </c>
      <c r="C40" s="38">
        <f>C15</f>
        <v/>
      </c>
    </row>
    <row r="41">
      <c r="B41" s="21" t="inlineStr">
        <is>
          <t>Hazard 5-Year Survival:</t>
        </is>
      </c>
      <c r="C41" s="38">
        <f>F37</f>
        <v/>
      </c>
    </row>
    <row r="42">
      <c r="B42" s="26" t="inlineStr">
        <is>
          <t>Composite V3 Score:</t>
        </is>
      </c>
      <c r="C42" s="39">
        <f>C40*C41</f>
        <v/>
      </c>
    </row>
    <row r="43">
      <c r="B43" s="40" t="inlineStr">
        <is>
          <t>V3 VERDICT:</t>
        </is>
      </c>
      <c r="C43" s="41">
        <f>IF(C42&gt;=0.65,"GO",IF(C42&gt;=0.50,"CONDITIONAL","NO-GO"))</f>
        <v/>
      </c>
    </row>
  </sheetData>
  <mergeCells count="5">
    <mergeCell ref="B39:F39"/>
    <mergeCell ref="B30:H30"/>
    <mergeCell ref="B3:E3"/>
    <mergeCell ref="A1:H1"/>
    <mergeCell ref="B19:H19"/>
  </mergeCells>
  <conditionalFormatting sqref="C16">
    <cfRule type="cellIs" priority="1" operator="equal" dxfId="0">
      <formula>"GO"</formula>
    </cfRule>
    <cfRule type="cellIs" priority="2" operator="equal" dxfId="1">
      <formula>"CONDITIONAL"</formula>
    </cfRule>
    <cfRule type="cellIs" priority="3" operator="equal" dxfId="2">
      <formula>"NO-GO"</formula>
    </cfRule>
  </conditionalFormatting>
  <conditionalFormatting sqref="C43">
    <cfRule type="cellIs" priority="4" operator="equal" dxfId="3">
      <formula>"GO"</formula>
    </cfRule>
    <cfRule type="cellIs" priority="5" operator="equal" dxfId="4">
      <formula>"CONDITIONAL"</formula>
    </cfRule>
    <cfRule type="cellIs" priority="6" operator="equal" dxfId="5">
      <formula>"NO-GO"</formula>
    </cfRule>
  </conditionalFormatting>
  <pageMargins left="0.75" right="0.75" top="1" bottom="1" header="0.5" footer="0.5"/>
  <pageSetup orientation="landscape" paperSize="9"/>
</worksheet>
</file>

<file path=xl/worksheets/sheet3.xml><?xml version="1.0" encoding="utf-8"?>
<worksheet xmlns="http://schemas.openxmlformats.org/spreadsheetml/2006/main">
  <sheetPr>
    <tabColor rgb="004472C4"/>
    <outlinePr summaryBelow="1" summaryRight="1"/>
    <pageSetUpPr/>
  </sheetPr>
  <dimension ref="A1:E10"/>
  <sheetViews>
    <sheetView workbookViewId="0">
      <selection activeCell="A1" sqref="A1"/>
    </sheetView>
  </sheetViews>
  <sheetFormatPr baseColWidth="8" defaultRowHeight="15"/>
  <cols>
    <col width="3" customWidth="1" min="1" max="1"/>
    <col width="15" customWidth="1" min="2" max="2"/>
    <col width="20" customWidth="1" min="3" max="3"/>
    <col width="20" customWidth="1" min="4" max="4"/>
    <col width="20" customWidth="1" min="5" max="5"/>
  </cols>
  <sheetData>
    <row r="1">
      <c r="A1" s="1" t="inlineStr">
        <is>
          <t>SRFF-I RVS v3.0 — 5-Year Survival Probability Curve</t>
        </is>
      </c>
      <c r="B1" s="2" t="n"/>
      <c r="C1" s="2" t="n"/>
      <c r="D1" s="2" t="n"/>
      <c r="E1" s="2" t="n"/>
    </row>
    <row r="3">
      <c r="B3" s="12" t="inlineStr">
        <is>
          <t>Year</t>
        </is>
      </c>
      <c r="C3" s="12" t="inlineStr">
        <is>
          <t>Survival Prob</t>
        </is>
      </c>
      <c r="D3" s="12" t="inlineStr">
        <is>
          <t>GO Threshold</t>
        </is>
      </c>
      <c r="E3" s="12" t="inlineStr">
        <is>
          <t>CONDITIONAL Threshold</t>
        </is>
      </c>
    </row>
    <row r="4">
      <c r="B4" s="34" t="n">
        <v>0</v>
      </c>
      <c r="C4" s="24" t="n">
        <v>1</v>
      </c>
      <c r="D4" s="25" t="n">
        <v>0.65</v>
      </c>
      <c r="E4" s="25" t="n">
        <v>0.5</v>
      </c>
    </row>
    <row r="5">
      <c r="B5" s="34" t="n">
        <v>1</v>
      </c>
      <c r="C5" s="24">
        <f>Scorecard!F33</f>
        <v/>
      </c>
      <c r="D5" s="25" t="n">
        <v>0.65</v>
      </c>
      <c r="E5" s="25" t="n">
        <v>0.5</v>
      </c>
    </row>
    <row r="6">
      <c r="B6" s="34" t="n">
        <v>2</v>
      </c>
      <c r="C6" s="24">
        <f>Scorecard!F34</f>
        <v/>
      </c>
      <c r="D6" s="25" t="n">
        <v>0.65</v>
      </c>
      <c r="E6" s="25" t="n">
        <v>0.5</v>
      </c>
    </row>
    <row r="7">
      <c r="B7" s="34" t="n">
        <v>3</v>
      </c>
      <c r="C7" s="24">
        <f>Scorecard!F35</f>
        <v/>
      </c>
      <c r="D7" s="25" t="n">
        <v>0.65</v>
      </c>
      <c r="E7" s="25" t="n">
        <v>0.5</v>
      </c>
    </row>
    <row r="8">
      <c r="B8" s="34" t="n">
        <v>4</v>
      </c>
      <c r="C8" s="24">
        <f>Scorecard!F36</f>
        <v/>
      </c>
      <c r="D8" s="25" t="n">
        <v>0.65</v>
      </c>
      <c r="E8" s="25" t="n">
        <v>0.5</v>
      </c>
    </row>
    <row r="9">
      <c r="B9" s="34" t="n">
        <v>5</v>
      </c>
      <c r="C9" s="24">
        <f>Scorecard!F37</f>
        <v/>
      </c>
      <c r="D9" s="25" t="n">
        <v>0.65</v>
      </c>
      <c r="E9" s="25" t="n">
        <v>0.5</v>
      </c>
    </row>
    <row r="10">
      <c r="B10" s="42" t="inlineStr">
        <is>
          <t>Company:</t>
        </is>
      </c>
      <c r="C10" s="22">
        <f>Input!C5</f>
        <v/>
      </c>
    </row>
  </sheetData>
  <mergeCells count="1">
    <mergeCell ref="A1:E1"/>
  </mergeCells>
  <pageMargins left="0.75" right="0.75" top="1" bottom="1" header="0.5" footer="0.5"/>
  <pageSetup orientation="landscape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C00000"/>
    <outlinePr summaryBelow="1" summaryRight="1"/>
    <pageSetUpPr/>
  </sheetPr>
  <dimension ref="A1:I32"/>
  <sheetViews>
    <sheetView workbookViewId="0">
      <selection activeCell="A1" sqref="A1"/>
    </sheetView>
  </sheetViews>
  <sheetFormatPr baseColWidth="8" defaultRowHeight="15"/>
  <cols>
    <col width="3" customWidth="1" min="1" max="1"/>
    <col width="35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</cols>
  <sheetData>
    <row r="1">
      <c r="A1" s="1" t="inlineStr">
        <is>
          <t>SRFF-I RVS v3.0 — Stress Test Scenarios</t>
        </is>
      </c>
      <c r="B1" s="2" t="n"/>
      <c r="C1" s="2" t="n"/>
      <c r="D1" s="2" t="n"/>
      <c r="E1" s="2" t="n"/>
      <c r="F1" s="2" t="n"/>
      <c r="G1" s="2" t="n"/>
      <c r="H1" s="2" t="n"/>
      <c r="I1" s="2" t="n"/>
    </row>
    <row r="3">
      <c r="B3" s="4" t="inlineStr">
        <is>
          <t>BASELINE (FROM INPUT SHEET)</t>
        </is>
      </c>
      <c r="C3" s="5" t="n"/>
      <c r="D3" s="5" t="n"/>
      <c r="E3" s="5" t="n"/>
    </row>
    <row r="4">
      <c r="B4" s="21" t="inlineStr">
        <is>
          <t>Company:</t>
        </is>
      </c>
      <c r="C4" s="22">
        <f>Input!C5</f>
        <v/>
      </c>
    </row>
    <row r="5">
      <c r="B5" s="12" t="inlineStr"/>
      <c r="C5" s="12" t="inlineStr">
        <is>
          <t>V1</t>
        </is>
      </c>
      <c r="D5" s="12" t="inlineStr">
        <is>
          <t>V2</t>
        </is>
      </c>
      <c r="E5" s="12" t="inlineStr">
        <is>
          <t>V3</t>
        </is>
      </c>
      <c r="F5" s="12" t="inlineStr">
        <is>
          <t>V4</t>
        </is>
      </c>
      <c r="G5" s="12" t="inlineStr">
        <is>
          <t>V5</t>
        </is>
      </c>
      <c r="H5" s="12" t="inlineStr">
        <is>
          <t>V6</t>
        </is>
      </c>
    </row>
    <row r="6">
      <c r="B6" s="21" t="inlineStr">
        <is>
          <t>Baseline Values:</t>
        </is>
      </c>
      <c r="C6" s="24">
        <f>Input!F12</f>
        <v/>
      </c>
      <c r="D6" s="24">
        <f>Input!F13</f>
        <v/>
      </c>
      <c r="E6" s="24">
        <f>Input!F14</f>
        <v/>
      </c>
      <c r="F6" s="24">
        <f>Input!F15</f>
        <v/>
      </c>
      <c r="G6" s="24">
        <f>Input!F16</f>
        <v/>
      </c>
      <c r="H6" s="24">
        <f>Input!F17</f>
        <v/>
      </c>
    </row>
    <row r="7">
      <c r="B7" s="21" t="inlineStr">
        <is>
          <t>Baseline RVS Score:</t>
        </is>
      </c>
      <c r="C7" s="36">
        <f>Scorecard!C14</f>
        <v/>
      </c>
    </row>
    <row r="8">
      <c r="B8" s="21" t="inlineStr">
        <is>
          <t>Baseline P(Recovery):</t>
        </is>
      </c>
      <c r="C8" s="38">
        <f>Scorecard!C15</f>
        <v/>
      </c>
    </row>
    <row r="9">
      <c r="B9" s="21" t="inlineStr">
        <is>
          <t>Baseline Survival (5yr):</t>
        </is>
      </c>
      <c r="C9" s="38">
        <f>Scorecard!C41</f>
        <v/>
      </c>
    </row>
    <row r="10">
      <c r="B10" s="21" t="inlineStr">
        <is>
          <t>Baseline V3 Composite:</t>
        </is>
      </c>
      <c r="C10" s="36">
        <f>Scorecard!C42</f>
        <v/>
      </c>
    </row>
    <row r="11">
      <c r="B11" s="21" t="inlineStr">
        <is>
          <t>Baseline Verdict:</t>
        </is>
      </c>
      <c r="C11" s="22">
        <f>Scorecard!C43</f>
        <v/>
      </c>
    </row>
    <row r="13">
      <c r="B13" s="4" t="inlineStr">
        <is>
          <t>STRESS SCENARIO MULTIPLIERS</t>
        </is>
      </c>
      <c r="C13" s="5" t="n"/>
      <c r="D13" s="5" t="n"/>
      <c r="E13" s="5" t="n"/>
      <c r="F13" s="5" t="n"/>
      <c r="G13" s="5" t="n"/>
      <c r="H13" s="5" t="n"/>
    </row>
    <row r="14">
      <c r="B14" s="12" t="inlineStr">
        <is>
          <t>Scenario</t>
        </is>
      </c>
      <c r="C14" s="12" t="inlineStr">
        <is>
          <t>V1 mult</t>
        </is>
      </c>
      <c r="D14" s="12" t="inlineStr">
        <is>
          <t>V2 mult</t>
        </is>
      </c>
      <c r="E14" s="12" t="inlineStr">
        <is>
          <t>V3 mult</t>
        </is>
      </c>
      <c r="F14" s="12" t="inlineStr">
        <is>
          <t>V4 mult</t>
        </is>
      </c>
      <c r="G14" s="12" t="inlineStr">
        <is>
          <t>V5 mult</t>
        </is>
      </c>
      <c r="H14" s="12" t="inlineStr">
        <is>
          <t>V6 mult</t>
        </is>
      </c>
    </row>
    <row r="15">
      <c r="B15" s="26" t="inlineStr">
        <is>
          <t>A: Working Capital Crisis</t>
        </is>
      </c>
      <c r="C15" s="43" t="n">
        <v>0.7</v>
      </c>
      <c r="D15" s="43" t="n">
        <v>0.8</v>
      </c>
      <c r="E15" s="44" t="n">
        <v>1</v>
      </c>
      <c r="F15" s="44" t="n">
        <v>1</v>
      </c>
      <c r="G15" s="44" t="n">
        <v>1</v>
      </c>
      <c r="H15" s="44" t="n">
        <v>1</v>
      </c>
    </row>
    <row r="16">
      <c r="B16" s="26" t="inlineStr">
        <is>
          <t>B: Margin Compression</t>
        </is>
      </c>
      <c r="C16" s="44" t="n">
        <v>1</v>
      </c>
      <c r="D16" s="44" t="n">
        <v>1</v>
      </c>
      <c r="E16" s="43" t="n">
        <v>0.5</v>
      </c>
      <c r="F16" s="43" t="n">
        <v>0.5</v>
      </c>
      <c r="G16" s="44" t="n">
        <v>1</v>
      </c>
      <c r="H16" s="44" t="n">
        <v>1</v>
      </c>
    </row>
    <row r="17">
      <c r="B17" s="26" t="inlineStr">
        <is>
          <t>C: Refinancing Crisis</t>
        </is>
      </c>
      <c r="C17" s="44" t="n">
        <v>1</v>
      </c>
      <c r="D17" s="44" t="n">
        <v>1</v>
      </c>
      <c r="E17" s="43" t="n">
        <v>0.667</v>
      </c>
      <c r="F17" s="43" t="n">
        <v>0.667</v>
      </c>
      <c r="G17" s="43" t="n">
        <v>0.8</v>
      </c>
      <c r="H17" s="44" t="n">
        <v>1</v>
      </c>
    </row>
    <row r="18">
      <c r="B18" s="26" t="inlineStr">
        <is>
          <t>D: Perfect Storm</t>
        </is>
      </c>
      <c r="C18" s="43" t="n">
        <v>0.7</v>
      </c>
      <c r="D18" s="43" t="n">
        <v>0.8</v>
      </c>
      <c r="E18" s="43" t="n">
        <v>0.233</v>
      </c>
      <c r="F18" s="43" t="n">
        <v>0.233</v>
      </c>
      <c r="G18" s="43" t="n">
        <v>0.667</v>
      </c>
      <c r="H18" s="43" t="n">
        <v>0.467</v>
      </c>
    </row>
    <row r="20">
      <c r="B20" s="4" t="inlineStr">
        <is>
          <t>STRESSED RESULTS</t>
        </is>
      </c>
      <c r="C20" s="5" t="n"/>
      <c r="D20" s="5" t="n"/>
      <c r="E20" s="5" t="n"/>
      <c r="F20" s="5" t="n"/>
      <c r="G20" s="5" t="n"/>
      <c r="H20" s="5" t="n"/>
      <c r="I20" s="5" t="n"/>
    </row>
    <row r="21">
      <c r="B21" s="12" t="inlineStr">
        <is>
          <t>Scenario</t>
        </is>
      </c>
      <c r="C21" s="12" t="inlineStr">
        <is>
          <t>Stressed V1</t>
        </is>
      </c>
      <c r="D21" s="12" t="inlineStr">
        <is>
          <t>Stressed V2</t>
        </is>
      </c>
      <c r="E21" s="12" t="inlineStr">
        <is>
          <t>Stressed V3</t>
        </is>
      </c>
      <c r="F21" s="12" t="inlineStr">
        <is>
          <t>Stressed V4</t>
        </is>
      </c>
      <c r="G21" s="12" t="inlineStr">
        <is>
          <t>Stressed V5</t>
        </is>
      </c>
      <c r="H21" s="12" t="inlineStr">
        <is>
          <t>Stressed V6</t>
        </is>
      </c>
      <c r="I21" s="12" t="inlineStr">
        <is>
          <t>Stressed Z</t>
        </is>
      </c>
    </row>
    <row r="22">
      <c r="B22" s="26">
        <f>Stress Test!B15</f>
        <v/>
      </c>
      <c r="C22" s="24">
        <f>$C$6*C15</f>
        <v/>
      </c>
      <c r="D22" s="24">
        <f>$D$6*D15</f>
        <v/>
      </c>
      <c r="E22" s="24">
        <f>$E$6*E15</f>
        <v/>
      </c>
      <c r="F22" s="24">
        <f>$F$6*F15</f>
        <v/>
      </c>
      <c r="G22" s="24">
        <f>$G$6*G15</f>
        <v/>
      </c>
      <c r="H22" s="24">
        <f>$H$6*H15</f>
        <v/>
      </c>
      <c r="I22" s="24">
        <f>2.5445+0.2506*C22+1.7070*D22+0.7426*E22+0.7262*F22+0.8278*G22+(-1.8122)*H22</f>
        <v/>
      </c>
    </row>
    <row r="23">
      <c r="B23" s="26">
        <f>Stress Test!B16</f>
        <v/>
      </c>
      <c r="C23" s="24">
        <f>$C$6*C16</f>
        <v/>
      </c>
      <c r="D23" s="24">
        <f>$D$6*D16</f>
        <v/>
      </c>
      <c r="E23" s="24">
        <f>$E$6*E16</f>
        <v/>
      </c>
      <c r="F23" s="24">
        <f>$F$6*F16</f>
        <v/>
      </c>
      <c r="G23" s="24">
        <f>$G$6*G16</f>
        <v/>
      </c>
      <c r="H23" s="24">
        <f>$H$6*H16</f>
        <v/>
      </c>
      <c r="I23" s="24">
        <f>2.5445+0.2506*C23+1.7070*D23+0.7426*E23+0.7262*F23+0.8278*G23+(-1.8122)*H23</f>
        <v/>
      </c>
    </row>
    <row r="24">
      <c r="B24" s="26">
        <f>Stress Test!B17</f>
        <v/>
      </c>
      <c r="C24" s="24">
        <f>$C$6*C17</f>
        <v/>
      </c>
      <c r="D24" s="24">
        <f>$D$6*D17</f>
        <v/>
      </c>
      <c r="E24" s="24">
        <f>$E$6*E17</f>
        <v/>
      </c>
      <c r="F24" s="24">
        <f>$F$6*F17</f>
        <v/>
      </c>
      <c r="G24" s="24">
        <f>$G$6*G17</f>
        <v/>
      </c>
      <c r="H24" s="24">
        <f>$H$6*H17</f>
        <v/>
      </c>
      <c r="I24" s="24">
        <f>2.5445+0.2506*C24+1.7070*D24+0.7426*E24+0.7262*F24+0.8278*G24+(-1.8122)*H24</f>
        <v/>
      </c>
    </row>
    <row r="25">
      <c r="B25" s="26">
        <f>Stress Test!B18</f>
        <v/>
      </c>
      <c r="C25" s="24">
        <f>$C$6*C18</f>
        <v/>
      </c>
      <c r="D25" s="24">
        <f>$D$6*D18</f>
        <v/>
      </c>
      <c r="E25" s="24">
        <f>$E$6*E18</f>
        <v/>
      </c>
      <c r="F25" s="24">
        <f>$F$6*F18</f>
        <v/>
      </c>
      <c r="G25" s="24">
        <f>$G$6*G18</f>
        <v/>
      </c>
      <c r="H25" s="24">
        <f>$H$6*H18</f>
        <v/>
      </c>
      <c r="I25" s="24">
        <f>2.5445+0.2506*C25+1.7070*D25+0.7426*E25+0.7262*F25+0.8278*G25+(-1.8122)*H25</f>
        <v/>
      </c>
    </row>
    <row r="27">
      <c r="B27" s="4" t="inlineStr">
        <is>
          <t>STRESS TEST SUMMARY</t>
        </is>
      </c>
      <c r="C27" s="5" t="n"/>
      <c r="D27" s="5" t="n"/>
      <c r="E27" s="5" t="n"/>
      <c r="F27" s="5" t="n"/>
      <c r="G27" s="5" t="n"/>
      <c r="H27" s="5" t="n"/>
      <c r="I27" s="5" t="n"/>
    </row>
    <row r="28">
      <c r="B28" s="12" t="inlineStr">
        <is>
          <t>Scenario</t>
        </is>
      </c>
      <c r="C28" s="12" t="inlineStr">
        <is>
          <t>Stressed RVS</t>
        </is>
      </c>
      <c r="D28" s="12" t="inlineStr">
        <is>
          <t>Stressed P(Rec)</t>
        </is>
      </c>
      <c r="E28" s="12" t="inlineStr">
        <is>
          <t>Stressed Surv 5yr</t>
        </is>
      </c>
      <c r="F28" s="12" t="inlineStr">
        <is>
          <t>Stressed V3</t>
        </is>
      </c>
      <c r="G28" s="12" t="inlineStr">
        <is>
          <t>Verdict</t>
        </is>
      </c>
      <c r="H28" s="12" t="inlineStr">
        <is>
          <t>Baseline Verdict</t>
        </is>
      </c>
      <c r="I28" s="12" t="inlineStr">
        <is>
          <t>Status</t>
        </is>
      </c>
    </row>
    <row r="29">
      <c r="B29" s="26">
        <f>B22</f>
        <v/>
      </c>
      <c r="C29" s="24">
        <f>I22</f>
        <v/>
      </c>
      <c r="D29" s="45">
        <f>1/(1+EXP(-C29))</f>
        <v/>
      </c>
      <c r="E29" s="45">
        <f>(1-MAX(0.001,MIN(0.95,1/(1+EXP(-(Scorecard!$H$21+Scorecard!$H$22*C22*1.0+Scorecard!$H$23*D22*1.0+Scorecard!$H$24*E22*1.0+Scorecard!$H$25*F22*1.0+Scorecard!$H$26*G22*1.0+Scorecard!$H$27*H22*1.0+Scorecard!$H$28*1+Scorecard!$H$29*0))))))*(1-MAX(0.001,MIN(0.95,1/(1+EXP(-(Scorecard!$H$21+Scorecard!$H$22*C22*0.98+Scorecard!$H$23*D22*0.98+Scorecard!$H$24*E22*0.98+Scorecard!$H$25*F22*0.98+Scorecard!$H$26*G22*0.98+Scorecard!$H$27*H22*0.98+Scorecard!$H$28*2+Scorecard!$H$29*1))))))*(1-MAX(0.001,MIN(0.95,1/(1+EXP(-(Scorecard!$H$21+Scorecard!$H$22*C22*0.96+Scorecard!$H$23*D22*0.96+Scorecard!$H$24*E22*0.96+Scorecard!$H$25*F22*0.96+Scorecard!$H$26*G22*0.96+Scorecard!$H$27*H22*0.96+Scorecard!$H$28*3+Scorecard!$H$29*1))))))*(1-MAX(0.001,MIN(0.95,1/(1+EXP(-(Scorecard!$H$21+Scorecard!$H$22*C22*0.94+Scorecard!$H$23*D22*0.94+Scorecard!$H$24*E22*0.94+Scorecard!$H$25*F22*0.94+Scorecard!$H$26*G22*0.94+Scorecard!$H$27*H22*0.94+Scorecard!$H$28*4+Scorecard!$H$29*0))))))*(1-MAX(0.001,MIN(0.95,1/(1+EXP(-(Scorecard!$H$21+Scorecard!$H$22*C22*0.92+Scorecard!$H$23*D22*0.92+Scorecard!$H$24*E22*0.92+Scorecard!$H$25*F22*0.92+Scorecard!$H$26*G22*0.92+Scorecard!$H$27*H22*0.92+Scorecard!$H$28*5+Scorecard!$H$29*0))))))</f>
        <v/>
      </c>
      <c r="F29" s="36">
        <f>D29*E29</f>
        <v/>
      </c>
      <c r="G29" s="46">
        <f>IF(F29&gt;=0.65,"GO",IF(F29&gt;=0.50,"CONDITIONAL","NO-GO"))</f>
        <v/>
      </c>
      <c r="H29" s="46">
        <f>Scorecard!C43</f>
        <v/>
      </c>
      <c r="I29" s="46">
        <f>IF(G29=H29,"UNCHANGED","DOWNGRADED")</f>
        <v/>
      </c>
    </row>
    <row r="30">
      <c r="B30" s="26">
        <f>B23</f>
        <v/>
      </c>
      <c r="C30" s="24">
        <f>I23</f>
        <v/>
      </c>
      <c r="D30" s="45">
        <f>1/(1+EXP(-C30))</f>
        <v/>
      </c>
      <c r="E30" s="45">
        <f>(1-MAX(0.001,MIN(0.95,1/(1+EXP(-(Scorecard!$H$21+Scorecard!$H$22*C23*1.0+Scorecard!$H$23*D23*1.0+Scorecard!$H$24*E23*1.0+Scorecard!$H$25*F23*1.0+Scorecard!$H$26*G23*1.0+Scorecard!$H$27*H23*1.0+Scorecard!$H$28*1+Scorecard!$H$29*0))))))*(1-MAX(0.001,MIN(0.95,1/(1+EXP(-(Scorecard!$H$21+Scorecard!$H$22*C23*0.98+Scorecard!$H$23*D23*0.98+Scorecard!$H$24*E23*0.98+Scorecard!$H$25*F23*0.98+Scorecard!$H$26*G23*0.98+Scorecard!$H$27*H23*0.98+Scorecard!$H$28*2+Scorecard!$H$29*1))))))*(1-MAX(0.001,MIN(0.95,1/(1+EXP(-(Scorecard!$H$21+Scorecard!$H$22*C23*0.96+Scorecard!$H$23*D23*0.96+Scorecard!$H$24*E23*0.96+Scorecard!$H$25*F23*0.96+Scorecard!$H$26*G23*0.96+Scorecard!$H$27*H23*0.96+Scorecard!$H$28*3+Scorecard!$H$29*1))))))*(1-MAX(0.001,MIN(0.95,1/(1+EXP(-(Scorecard!$H$21+Scorecard!$H$22*C23*0.94+Scorecard!$H$23*D23*0.94+Scorecard!$H$24*E23*0.94+Scorecard!$H$25*F23*0.94+Scorecard!$H$26*G23*0.94+Scorecard!$H$27*H23*0.94+Scorecard!$H$28*4+Scorecard!$H$29*0))))))*(1-MAX(0.001,MIN(0.95,1/(1+EXP(-(Scorecard!$H$21+Scorecard!$H$22*C23*0.92+Scorecard!$H$23*D23*0.92+Scorecard!$H$24*E23*0.92+Scorecard!$H$25*F23*0.92+Scorecard!$H$26*G23*0.92+Scorecard!$H$27*H23*0.92+Scorecard!$H$28*5+Scorecard!$H$29*0))))))</f>
        <v/>
      </c>
      <c r="F30" s="36">
        <f>D30*E30</f>
        <v/>
      </c>
      <c r="G30" s="46">
        <f>IF(F30&gt;=0.65,"GO",IF(F30&gt;=0.50,"CONDITIONAL","NO-GO"))</f>
        <v/>
      </c>
      <c r="H30" s="46">
        <f>Scorecard!C43</f>
        <v/>
      </c>
      <c r="I30" s="46">
        <f>IF(G30=H30,"UNCHANGED","DOWNGRADED")</f>
        <v/>
      </c>
    </row>
    <row r="31">
      <c r="B31" s="26">
        <f>B24</f>
        <v/>
      </c>
      <c r="C31" s="24">
        <f>I24</f>
        <v/>
      </c>
      <c r="D31" s="45">
        <f>1/(1+EXP(-C31))</f>
        <v/>
      </c>
      <c r="E31" s="45">
        <f>(1-MAX(0.001,MIN(0.95,1/(1+EXP(-(Scorecard!$H$21+Scorecard!$H$22*C24*1.0+Scorecard!$H$23*D24*1.0+Scorecard!$H$24*E24*1.0+Scorecard!$H$25*F24*1.0+Scorecard!$H$26*G24*1.0+Scorecard!$H$27*H24*1.0+Scorecard!$H$28*1+Scorecard!$H$29*0))))))*(1-MAX(0.001,MIN(0.95,1/(1+EXP(-(Scorecard!$H$21+Scorecard!$H$22*C24*0.98+Scorecard!$H$23*D24*0.98+Scorecard!$H$24*E24*0.98+Scorecard!$H$25*F24*0.98+Scorecard!$H$26*G24*0.98+Scorecard!$H$27*H24*0.98+Scorecard!$H$28*2+Scorecard!$H$29*1))))))*(1-MAX(0.001,MIN(0.95,1/(1+EXP(-(Scorecard!$H$21+Scorecard!$H$22*C24*0.96+Scorecard!$H$23*D24*0.96+Scorecard!$H$24*E24*0.96+Scorecard!$H$25*F24*0.96+Scorecard!$H$26*G24*0.96+Scorecard!$H$27*H24*0.96+Scorecard!$H$28*3+Scorecard!$H$29*1))))))*(1-MAX(0.001,MIN(0.95,1/(1+EXP(-(Scorecard!$H$21+Scorecard!$H$22*C24*0.94+Scorecard!$H$23*D24*0.94+Scorecard!$H$24*E24*0.94+Scorecard!$H$25*F24*0.94+Scorecard!$H$26*G24*0.94+Scorecard!$H$27*H24*0.94+Scorecard!$H$28*4+Scorecard!$H$29*0))))))*(1-MAX(0.001,MIN(0.95,1/(1+EXP(-(Scorecard!$H$21+Scorecard!$H$22*C24*0.92+Scorecard!$H$23*D24*0.92+Scorecard!$H$24*E24*0.92+Scorecard!$H$25*F24*0.92+Scorecard!$H$26*G24*0.92+Scorecard!$H$27*H24*0.92+Scorecard!$H$28*5+Scorecard!$H$29*0))))))</f>
        <v/>
      </c>
      <c r="F31" s="36">
        <f>D31*E31</f>
        <v/>
      </c>
      <c r="G31" s="46">
        <f>IF(F31&gt;=0.65,"GO",IF(F31&gt;=0.50,"CONDITIONAL","NO-GO"))</f>
        <v/>
      </c>
      <c r="H31" s="46">
        <f>Scorecard!C43</f>
        <v/>
      </c>
      <c r="I31" s="46">
        <f>IF(G31=H31,"UNCHANGED","DOWNGRADED")</f>
        <v/>
      </c>
    </row>
    <row r="32">
      <c r="B32" s="26">
        <f>B25</f>
        <v/>
      </c>
      <c r="C32" s="24">
        <f>I25</f>
        <v/>
      </c>
      <c r="D32" s="45">
        <f>1/(1+EXP(-C32))</f>
        <v/>
      </c>
      <c r="E32" s="45">
        <f>(1-MAX(0.001,MIN(0.95,1/(1+EXP(-(Scorecard!$H$21+Scorecard!$H$22*C25*1.0+Scorecard!$H$23*D25*1.0+Scorecard!$H$24*E25*1.0+Scorecard!$H$25*F25*1.0+Scorecard!$H$26*G25*1.0+Scorecard!$H$27*H25*1.0+Scorecard!$H$28*1+Scorecard!$H$29*0))))))*(1-MAX(0.001,MIN(0.95,1/(1+EXP(-(Scorecard!$H$21+Scorecard!$H$22*C25*0.98+Scorecard!$H$23*D25*0.98+Scorecard!$H$24*E25*0.98+Scorecard!$H$25*F25*0.98+Scorecard!$H$26*G25*0.98+Scorecard!$H$27*H25*0.98+Scorecard!$H$28*2+Scorecard!$H$29*1))))))*(1-MAX(0.001,MIN(0.95,1/(1+EXP(-(Scorecard!$H$21+Scorecard!$H$22*C25*0.96+Scorecard!$H$23*D25*0.96+Scorecard!$H$24*E25*0.96+Scorecard!$H$25*F25*0.96+Scorecard!$H$26*G25*0.96+Scorecard!$H$27*H25*0.96+Scorecard!$H$28*3+Scorecard!$H$29*1))))))*(1-MAX(0.001,MIN(0.95,1/(1+EXP(-(Scorecard!$H$21+Scorecard!$H$22*C25*0.94+Scorecard!$H$23*D25*0.94+Scorecard!$H$24*E25*0.94+Scorecard!$H$25*F25*0.94+Scorecard!$H$26*G25*0.94+Scorecard!$H$27*H25*0.94+Scorecard!$H$28*4+Scorecard!$H$29*0))))))*(1-MAX(0.001,MIN(0.95,1/(1+EXP(-(Scorecard!$H$21+Scorecard!$H$22*C25*0.92+Scorecard!$H$23*D25*0.92+Scorecard!$H$24*E25*0.92+Scorecard!$H$25*F25*0.92+Scorecard!$H$26*G25*0.92+Scorecard!$H$27*H25*0.92+Scorecard!$H$28*5+Scorecard!$H$29*0))))))</f>
        <v/>
      </c>
      <c r="F32" s="36">
        <f>D32*E32</f>
        <v/>
      </c>
      <c r="G32" s="46">
        <f>IF(F32&gt;=0.65,"GO",IF(F32&gt;=0.50,"CONDITIONAL","NO-GO"))</f>
        <v/>
      </c>
      <c r="H32" s="46">
        <f>Scorecard!C43</f>
        <v/>
      </c>
      <c r="I32" s="46">
        <f>IF(G32=H32,"UNCHANGED","DOWNGRADED")</f>
        <v/>
      </c>
    </row>
  </sheetData>
  <mergeCells count="5">
    <mergeCell ref="B13:H13"/>
    <mergeCell ref="B20:I20"/>
    <mergeCell ref="A1:I1"/>
    <mergeCell ref="B3:E3"/>
    <mergeCell ref="B27:I27"/>
  </mergeCells>
  <conditionalFormatting sqref="I29">
    <cfRule type="cellIs" priority="1" operator="equal" dxfId="0">
      <formula>"UNCHANGED"</formula>
    </cfRule>
    <cfRule type="cellIs" priority="2" operator="equal" dxfId="2">
      <formula>"DOWNGRADED"</formula>
    </cfRule>
  </conditionalFormatting>
  <conditionalFormatting sqref="I30">
    <cfRule type="cellIs" priority="3" operator="equal" dxfId="0">
      <formula>"UNCHANGED"</formula>
    </cfRule>
    <cfRule type="cellIs" priority="4" operator="equal" dxfId="2">
      <formula>"DOWNGRADED"</formula>
    </cfRule>
  </conditionalFormatting>
  <conditionalFormatting sqref="I31">
    <cfRule type="cellIs" priority="5" operator="equal" dxfId="0">
      <formula>"UNCHANGED"</formula>
    </cfRule>
    <cfRule type="cellIs" priority="6" operator="equal" dxfId="2">
      <formula>"DOWNGRADED"</formula>
    </cfRule>
  </conditionalFormatting>
  <conditionalFormatting sqref="I32">
    <cfRule type="cellIs" priority="7" operator="equal" dxfId="0">
      <formula>"UNCHANGED"</formula>
    </cfRule>
    <cfRule type="cellIs" priority="8" operator="equal" dxfId="2">
      <formula>"DOWNGRADED"</formula>
    </cfRule>
  </conditionalFormatting>
  <conditionalFormatting sqref="G29">
    <cfRule type="cellIs" priority="9" operator="equal" dxfId="0">
      <formula>"GO"</formula>
    </cfRule>
    <cfRule type="cellIs" priority="10" operator="equal" dxfId="1">
      <formula>"CONDITIONAL"</formula>
    </cfRule>
    <cfRule type="cellIs" priority="11" operator="equal" dxfId="2">
      <formula>"NO-GO"</formula>
    </cfRule>
  </conditionalFormatting>
  <conditionalFormatting sqref="G30">
    <cfRule type="cellIs" priority="12" operator="equal" dxfId="0">
      <formula>"GO"</formula>
    </cfRule>
    <cfRule type="cellIs" priority="13" operator="equal" dxfId="1">
      <formula>"CONDITIONAL"</formula>
    </cfRule>
    <cfRule type="cellIs" priority="14" operator="equal" dxfId="2">
      <formula>"NO-GO"</formula>
    </cfRule>
  </conditionalFormatting>
  <conditionalFormatting sqref="G31">
    <cfRule type="cellIs" priority="15" operator="equal" dxfId="0">
      <formula>"GO"</formula>
    </cfRule>
    <cfRule type="cellIs" priority="16" operator="equal" dxfId="1">
      <formula>"CONDITIONAL"</formula>
    </cfRule>
    <cfRule type="cellIs" priority="17" operator="equal" dxfId="2">
      <formula>"NO-GO"</formula>
    </cfRule>
  </conditionalFormatting>
  <conditionalFormatting sqref="G32">
    <cfRule type="cellIs" priority="18" operator="equal" dxfId="0">
      <formula>"GO"</formula>
    </cfRule>
    <cfRule type="cellIs" priority="19" operator="equal" dxfId="1">
      <formula>"CONDITIONAL"</formula>
    </cfRule>
    <cfRule type="cellIs" priority="20" operator="equal" dxfId="2">
      <formula>"NO-GO"</formula>
    </cfRule>
  </conditionalFormatting>
  <pageMargins left="0.75" right="0.75" top="1" bottom="1" header="0.5" footer="0.5"/>
  <pageSetup orientation="landscape" paperSize="9"/>
</worksheet>
</file>

<file path=xl/worksheets/sheet5.xml><?xml version="1.0" encoding="utf-8"?>
<worksheet xmlns="http://schemas.openxmlformats.org/spreadsheetml/2006/main">
  <sheetPr>
    <tabColor rgb="00002060"/>
    <outlinePr summaryBelow="1" summaryRight="1"/>
    <pageSetUpPr/>
  </sheetPr>
  <dimension ref="A1:G36"/>
  <sheetViews>
    <sheetView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22" customWidth="1" min="3" max="3"/>
    <col width="22" customWidth="1" min="4" max="4"/>
    <col width="22" customWidth="1" min="5" max="5"/>
    <col width="22" customWidth="1" min="6" max="6"/>
    <col width="22" customWidth="1" min="7" max="7"/>
  </cols>
  <sheetData>
    <row r="1">
      <c r="A1" s="1" t="inlineStr">
        <is>
          <t>SOHAR INTERNATIONAL BANK — INVESTMENT COMMITTEE SUMMARY</t>
        </is>
      </c>
      <c r="B1" s="2" t="n"/>
      <c r="C1" s="2" t="n"/>
      <c r="D1" s="2" t="n"/>
      <c r="E1" s="2" t="n"/>
      <c r="F1" s="2" t="n"/>
      <c r="G1" s="2" t="n"/>
    </row>
    <row r="2">
      <c r="A2" s="47" t="inlineStr">
        <is>
          <t>SRFF-I Recovery Viability Scorecard v3.0 — Executive Summary</t>
        </is>
      </c>
    </row>
    <row r="4">
      <c r="B4" s="4" t="inlineStr">
        <is>
          <t>COMPANY DETAILS</t>
        </is>
      </c>
      <c r="C4" s="5" t="n"/>
      <c r="D4" s="5" t="n"/>
    </row>
    <row r="5">
      <c r="B5" s="21" t="inlineStr">
        <is>
          <t>Company Name:</t>
        </is>
      </c>
      <c r="C5" s="22">
        <f>Input!C5</f>
        <v/>
      </c>
    </row>
    <row r="6">
      <c r="B6" s="21" t="inlineStr">
        <is>
          <t>Analyst:</t>
        </is>
      </c>
      <c r="C6" s="22">
        <f>Input!C6</f>
        <v/>
      </c>
    </row>
    <row r="7">
      <c r="B7" s="21" t="inlineStr">
        <is>
          <t>Date:</t>
        </is>
      </c>
      <c r="C7" s="22">
        <f>Input!C7</f>
        <v/>
      </c>
    </row>
    <row r="8">
      <c r="B8" s="21" t="inlineStr">
        <is>
          <t>Sector:</t>
        </is>
      </c>
      <c r="C8" s="22">
        <f>Input!C8</f>
        <v/>
      </c>
    </row>
    <row r="10">
      <c r="B10" s="4" t="inlineStr">
        <is>
          <t>KEY METRICS</t>
        </is>
      </c>
      <c r="C10" s="5" t="n"/>
      <c r="D10" s="5" t="n"/>
      <c r="E10" s="5" t="n"/>
      <c r="F10" s="5" t="n"/>
      <c r="G10" s="5" t="n"/>
    </row>
    <row r="11">
      <c r="B11" s="12" t="inlineStr">
        <is>
          <t>Metric</t>
        </is>
      </c>
      <c r="C11" s="12" t="inlineStr">
        <is>
          <t>Value</t>
        </is>
      </c>
      <c r="D11" s="12" t="inlineStr">
        <is>
          <t>Threshold</t>
        </is>
      </c>
      <c r="E11" s="12" t="inlineStr">
        <is>
          <t>Status</t>
        </is>
      </c>
      <c r="F11" s="12" t="inlineStr"/>
      <c r="G11" s="12" t="inlineStr"/>
    </row>
    <row r="12">
      <c r="B12" s="21" t="inlineStr">
        <is>
          <t>RVS v2.0 Score (Z)</t>
        </is>
      </c>
      <c r="C12" s="36">
        <f>Scorecard!C14</f>
        <v/>
      </c>
      <c r="D12" s="34" t="inlineStr">
        <is>
          <t>Z &gt; 3.5</t>
        </is>
      </c>
      <c r="E12" s="46">
        <f>IF(Scorecard!C14&gt;6,"Strong",IF(Scorecard!C14&gt;=3.5,"Conditional","Reject"))</f>
        <v/>
      </c>
    </row>
    <row r="13">
      <c r="B13" s="21" t="inlineStr">
        <is>
          <t>P(Recovery) — LR</t>
        </is>
      </c>
      <c r="C13" s="38">
        <f>Scorecard!C15</f>
        <v/>
      </c>
      <c r="D13" s="34" t="inlineStr">
        <is>
          <t>&gt;= 65%</t>
        </is>
      </c>
      <c r="E13" s="46">
        <f>Scorecard!C16</f>
        <v/>
      </c>
    </row>
    <row r="14">
      <c r="B14" s="21" t="inlineStr">
        <is>
          <t>Hazard 5yr Survival</t>
        </is>
      </c>
      <c r="C14" s="38">
        <f>Scorecard!C41</f>
        <v/>
      </c>
      <c r="D14" s="34" t="inlineStr">
        <is>
          <t>&gt;= 65%</t>
        </is>
      </c>
      <c r="E14" s="46">
        <f>IF(Scorecard!C41&gt;=0.65,"Strong",IF(Scorecard!C41&gt;=0.50,"Moderate","Weak"))</f>
        <v/>
      </c>
    </row>
    <row r="15">
      <c r="B15" s="21" t="inlineStr">
        <is>
          <t>Composite V3 Score</t>
        </is>
      </c>
      <c r="C15" s="36">
        <f>Scorecard!C42</f>
        <v/>
      </c>
      <c r="D15" s="34" t="inlineStr">
        <is>
          <t>&gt;= 0.65</t>
        </is>
      </c>
      <c r="E15" s="46">
        <f>Scorecard!C43</f>
        <v/>
      </c>
    </row>
    <row r="17">
      <c r="B17" s="4" t="inlineStr">
        <is>
          <t>STRESS TEST RESULTS</t>
        </is>
      </c>
      <c r="C17" s="5" t="n"/>
      <c r="D17" s="5" t="n"/>
      <c r="E17" s="5" t="n"/>
      <c r="F17" s="5" t="n"/>
      <c r="G17" s="5" t="n"/>
    </row>
    <row r="18">
      <c r="B18" s="12" t="inlineStr">
        <is>
          <t>Scenario</t>
        </is>
      </c>
      <c r="C18" s="12" t="inlineStr">
        <is>
          <t>Stressed V3 Score</t>
        </is>
      </c>
      <c r="D18" s="12" t="inlineStr">
        <is>
          <t>Verdict</t>
        </is>
      </c>
      <c r="E18" s="12" t="inlineStr">
        <is>
          <t>Status</t>
        </is>
      </c>
    </row>
    <row r="19">
      <c r="B19" s="21">
        <f>'Stress Test'!B29</f>
        <v/>
      </c>
      <c r="C19" s="36">
        <f>'Stress Test'!F29</f>
        <v/>
      </c>
      <c r="D19" s="46">
        <f>'Stress Test'!G29</f>
        <v/>
      </c>
      <c r="E19" s="46">
        <f>'Stress Test'!I29</f>
        <v/>
      </c>
    </row>
    <row r="20">
      <c r="B20" s="21">
        <f>'Stress Test'!B30</f>
        <v/>
      </c>
      <c r="C20" s="36">
        <f>'Stress Test'!F30</f>
        <v/>
      </c>
      <c r="D20" s="46">
        <f>'Stress Test'!G30</f>
        <v/>
      </c>
      <c r="E20" s="46">
        <f>'Stress Test'!I30</f>
        <v/>
      </c>
    </row>
    <row r="21">
      <c r="B21" s="21">
        <f>'Stress Test'!B31</f>
        <v/>
      </c>
      <c r="C21" s="36">
        <f>'Stress Test'!F31</f>
        <v/>
      </c>
      <c r="D21" s="46">
        <f>'Stress Test'!G31</f>
        <v/>
      </c>
      <c r="E21" s="46">
        <f>'Stress Test'!I31</f>
        <v/>
      </c>
    </row>
    <row r="22">
      <c r="B22" s="21">
        <f>'Stress Test'!B32</f>
        <v/>
      </c>
      <c r="C22" s="36">
        <f>'Stress Test'!F32</f>
        <v/>
      </c>
      <c r="D22" s="46">
        <f>'Stress Test'!G32</f>
        <v/>
      </c>
      <c r="E22" s="46">
        <f>'Stress Test'!I32</f>
        <v/>
      </c>
    </row>
    <row r="24">
      <c r="B24" s="4" t="inlineStr">
        <is>
          <t>KEY RISK FACTORS</t>
        </is>
      </c>
      <c r="C24" s="5" t="n"/>
      <c r="D24" s="5" t="n"/>
      <c r="E24" s="5" t="n"/>
      <c r="F24" s="5" t="n"/>
      <c r="G24" s="5" t="n"/>
    </row>
    <row r="25">
      <c r="B25" s="21" t="inlineStr">
        <is>
          <t>1. Primary Risk:</t>
        </is>
      </c>
      <c r="C25" s="48" t="n"/>
    </row>
    <row r="26">
      <c r="B26" s="21" t="inlineStr">
        <is>
          <t>2. Secondary Risk:</t>
        </is>
      </c>
      <c r="C26" s="48" t="n"/>
    </row>
    <row r="27">
      <c r="B27" s="21" t="inlineStr">
        <is>
          <t>3. Mitigant:</t>
        </is>
      </c>
      <c r="C27" s="48" t="n"/>
    </row>
    <row r="29">
      <c r="B29" s="4" t="inlineStr">
        <is>
          <t>RECOMMENDATION</t>
        </is>
      </c>
      <c r="C29" s="5" t="n"/>
      <c r="D29" s="5" t="n"/>
      <c r="E29" s="5" t="n"/>
      <c r="F29" s="5" t="n"/>
      <c r="G29" s="5" t="n"/>
    </row>
    <row r="30">
      <c r="B30" s="49" t="inlineStr">
        <is>
          <t>Overall Verdict:</t>
        </is>
      </c>
      <c r="C30" s="50">
        <f>Scorecard!C43</f>
        <v/>
      </c>
      <c r="D30" s="51" t="n"/>
    </row>
    <row r="31">
      <c r="B31" s="21" t="inlineStr">
        <is>
          <t>Rationale:</t>
        </is>
      </c>
      <c r="C31" s="52" t="n"/>
    </row>
    <row r="32"/>
    <row r="33"/>
    <row r="35">
      <c r="B35" s="53" t="inlineStr">
        <is>
          <t>CONFIDENTIAL — For Sohar International Bank Investment Committee Use Only</t>
        </is>
      </c>
    </row>
    <row r="36">
      <c r="B36" s="53" t="inlineStr">
        <is>
          <t>Model: SRFF-I RVS v3.0 | Accuracy: 93.0% | AUC: 0.985 | Validated: April 2026</t>
        </is>
      </c>
    </row>
  </sheetData>
  <mergeCells count="14">
    <mergeCell ref="B24:G24"/>
    <mergeCell ref="B10:G10"/>
    <mergeCell ref="A1:G1"/>
    <mergeCell ref="C30:D30"/>
    <mergeCell ref="B36:G36"/>
    <mergeCell ref="B17:G17"/>
    <mergeCell ref="B4:D4"/>
    <mergeCell ref="C25:G25"/>
    <mergeCell ref="C27:G27"/>
    <mergeCell ref="B35:G35"/>
    <mergeCell ref="A2:G2"/>
    <mergeCell ref="C31:G33"/>
    <mergeCell ref="B29:G29"/>
    <mergeCell ref="C26:G26"/>
  </mergeCells>
  <conditionalFormatting sqref="E12">
    <cfRule type="cellIs" priority="1" operator="equal" dxfId="6">
      <formula>"GO"</formula>
    </cfRule>
    <cfRule type="cellIs" priority="2" operator="equal" dxfId="6">
      <formula>"Strong"</formula>
    </cfRule>
    <cfRule type="cellIs" priority="3" operator="equal" dxfId="7">
      <formula>"CONDITIONAL"</formula>
    </cfRule>
    <cfRule type="cellIs" priority="4" operator="equal" dxfId="7">
      <formula>"Conditional"</formula>
    </cfRule>
    <cfRule type="cellIs" priority="5" operator="equal" dxfId="7">
      <formula>"Moderate"</formula>
    </cfRule>
    <cfRule type="cellIs" priority="6" operator="equal" dxfId="8">
      <formula>"NO-GO"</formula>
    </cfRule>
    <cfRule type="cellIs" priority="7" operator="equal" dxfId="8">
      <formula>"Reject"</formula>
    </cfRule>
    <cfRule type="cellIs" priority="8" operator="equal" dxfId="8">
      <formula>"Weak"</formula>
    </cfRule>
  </conditionalFormatting>
  <conditionalFormatting sqref="E13">
    <cfRule type="cellIs" priority="9" operator="equal" dxfId="6">
      <formula>"GO"</formula>
    </cfRule>
    <cfRule type="cellIs" priority="10" operator="equal" dxfId="6">
      <formula>"Strong"</formula>
    </cfRule>
    <cfRule type="cellIs" priority="11" operator="equal" dxfId="7">
      <formula>"CONDITIONAL"</formula>
    </cfRule>
    <cfRule type="cellIs" priority="12" operator="equal" dxfId="7">
      <formula>"Conditional"</formula>
    </cfRule>
    <cfRule type="cellIs" priority="13" operator="equal" dxfId="7">
      <formula>"Moderate"</formula>
    </cfRule>
    <cfRule type="cellIs" priority="14" operator="equal" dxfId="8">
      <formula>"NO-GO"</formula>
    </cfRule>
    <cfRule type="cellIs" priority="15" operator="equal" dxfId="8">
      <formula>"Reject"</formula>
    </cfRule>
    <cfRule type="cellIs" priority="16" operator="equal" dxfId="8">
      <formula>"Weak"</formula>
    </cfRule>
  </conditionalFormatting>
  <conditionalFormatting sqref="E14">
    <cfRule type="cellIs" priority="17" operator="equal" dxfId="6">
      <formula>"GO"</formula>
    </cfRule>
    <cfRule type="cellIs" priority="18" operator="equal" dxfId="6">
      <formula>"Strong"</formula>
    </cfRule>
    <cfRule type="cellIs" priority="19" operator="equal" dxfId="7">
      <formula>"CONDITIONAL"</formula>
    </cfRule>
    <cfRule type="cellIs" priority="20" operator="equal" dxfId="7">
      <formula>"Conditional"</formula>
    </cfRule>
    <cfRule type="cellIs" priority="21" operator="equal" dxfId="7">
      <formula>"Moderate"</formula>
    </cfRule>
    <cfRule type="cellIs" priority="22" operator="equal" dxfId="8">
      <formula>"NO-GO"</formula>
    </cfRule>
    <cfRule type="cellIs" priority="23" operator="equal" dxfId="8">
      <formula>"Reject"</formula>
    </cfRule>
    <cfRule type="cellIs" priority="24" operator="equal" dxfId="8">
      <formula>"Weak"</formula>
    </cfRule>
  </conditionalFormatting>
  <conditionalFormatting sqref="E15">
    <cfRule type="cellIs" priority="25" operator="equal" dxfId="6">
      <formula>"GO"</formula>
    </cfRule>
    <cfRule type="cellIs" priority="26" operator="equal" dxfId="6">
      <formula>"Strong"</formula>
    </cfRule>
    <cfRule type="cellIs" priority="27" operator="equal" dxfId="7">
      <formula>"CONDITIONAL"</formula>
    </cfRule>
    <cfRule type="cellIs" priority="28" operator="equal" dxfId="7">
      <formula>"Conditional"</formula>
    </cfRule>
    <cfRule type="cellIs" priority="29" operator="equal" dxfId="7">
      <formula>"Moderate"</formula>
    </cfRule>
    <cfRule type="cellIs" priority="30" operator="equal" dxfId="8">
      <formula>"NO-GO"</formula>
    </cfRule>
    <cfRule type="cellIs" priority="31" operator="equal" dxfId="8">
      <formula>"Reject"</formula>
    </cfRule>
    <cfRule type="cellIs" priority="32" operator="equal" dxfId="8">
      <formula>"Weak"</formula>
    </cfRule>
  </conditionalFormatting>
  <conditionalFormatting sqref="D19">
    <cfRule type="cellIs" priority="33" operator="equal" dxfId="6">
      <formula>"GO"</formula>
    </cfRule>
    <cfRule type="cellIs" priority="34" operator="equal" dxfId="7">
      <formula>"CONDITIONAL"</formula>
    </cfRule>
    <cfRule type="cellIs" priority="35" operator="equal" dxfId="8">
      <formula>"NO-GO"</formula>
    </cfRule>
  </conditionalFormatting>
  <conditionalFormatting sqref="E19">
    <cfRule type="cellIs" priority="36" operator="equal" dxfId="6">
      <formula>"UNCHANGED"</formula>
    </cfRule>
    <cfRule type="cellIs" priority="37" operator="equal" dxfId="8">
      <formula>"DOWNGRADED"</formula>
    </cfRule>
  </conditionalFormatting>
  <conditionalFormatting sqref="D20">
    <cfRule type="cellIs" priority="38" operator="equal" dxfId="6">
      <formula>"GO"</formula>
    </cfRule>
    <cfRule type="cellIs" priority="39" operator="equal" dxfId="7">
      <formula>"CONDITIONAL"</formula>
    </cfRule>
    <cfRule type="cellIs" priority="40" operator="equal" dxfId="8">
      <formula>"NO-GO"</formula>
    </cfRule>
  </conditionalFormatting>
  <conditionalFormatting sqref="E20">
    <cfRule type="cellIs" priority="41" operator="equal" dxfId="6">
      <formula>"UNCHANGED"</formula>
    </cfRule>
    <cfRule type="cellIs" priority="42" operator="equal" dxfId="8">
      <formula>"DOWNGRADED"</formula>
    </cfRule>
  </conditionalFormatting>
  <conditionalFormatting sqref="D21">
    <cfRule type="cellIs" priority="43" operator="equal" dxfId="6">
      <formula>"GO"</formula>
    </cfRule>
    <cfRule type="cellIs" priority="44" operator="equal" dxfId="7">
      <formula>"CONDITIONAL"</formula>
    </cfRule>
    <cfRule type="cellIs" priority="45" operator="equal" dxfId="8">
      <formula>"NO-GO"</formula>
    </cfRule>
  </conditionalFormatting>
  <conditionalFormatting sqref="E21">
    <cfRule type="cellIs" priority="46" operator="equal" dxfId="6">
      <formula>"UNCHANGED"</formula>
    </cfRule>
    <cfRule type="cellIs" priority="47" operator="equal" dxfId="8">
      <formula>"DOWNGRADED"</formula>
    </cfRule>
  </conditionalFormatting>
  <conditionalFormatting sqref="D22">
    <cfRule type="cellIs" priority="48" operator="equal" dxfId="6">
      <formula>"GO"</formula>
    </cfRule>
    <cfRule type="cellIs" priority="49" operator="equal" dxfId="7">
      <formula>"CONDITIONAL"</formula>
    </cfRule>
    <cfRule type="cellIs" priority="50" operator="equal" dxfId="8">
      <formula>"NO-GO"</formula>
    </cfRule>
  </conditionalFormatting>
  <conditionalFormatting sqref="E22">
    <cfRule type="cellIs" priority="51" operator="equal" dxfId="6">
      <formula>"UNCHANGED"</formula>
    </cfRule>
    <cfRule type="cellIs" priority="52" operator="equal" dxfId="8">
      <formula>"DOWNGRADED"</formula>
    </cfRule>
  </conditionalFormatting>
  <conditionalFormatting sqref="C30">
    <cfRule type="cellIs" priority="53" operator="equal" dxfId="9">
      <formula>"GO"</formula>
    </cfRule>
    <cfRule type="cellIs" priority="54" operator="equal" dxfId="10">
      <formula>"CONDITIONAL"</formula>
    </cfRule>
    <cfRule type="cellIs" priority="55" operator="equal" dxfId="11">
      <formula>"NO-GO"</formula>
    </cfRule>
  </conditionalFormatting>
  <pageMargins left="0.75" right="0.75" top="1" bottom="1" header="0.5" footer="0.5"/>
  <pageSetup orientation="landscape" paperSize="9"/>
</worksheet>
</file>

<file path=xl/worksheets/sheet6.xml><?xml version="1.0" encoding="utf-8"?>
<worksheet xmlns="http://schemas.openxmlformats.org/spreadsheetml/2006/main">
  <sheetPr>
    <tabColor rgb="00404040"/>
    <outlinePr summaryBelow="1" summaryRight="1"/>
    <pageSetUpPr/>
  </sheetPr>
  <dimension ref="A1:E52"/>
  <sheetViews>
    <sheetView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50" customWidth="1" min="3" max="3"/>
    <col width="25" customWidth="1" min="4" max="4"/>
    <col width="25" customWidth="1" min="5" max="5"/>
  </cols>
  <sheetData>
    <row r="1">
      <c r="A1" s="1" t="inlineStr">
        <is>
          <t>SRFF-I RVS v3.0 — Model Documentation &amp; Reference</t>
        </is>
      </c>
      <c r="B1" s="2" t="n"/>
      <c r="C1" s="2" t="n"/>
      <c r="D1" s="2" t="n"/>
      <c r="E1" s="2" t="n"/>
    </row>
    <row r="3">
      <c r="B3" s="4" t="inlineStr">
        <is>
          <t>1. RVS LOGISTIC REGRESSION FORMULA</t>
        </is>
      </c>
      <c r="C3" s="5" t="n"/>
      <c r="D3" s="5" t="n"/>
      <c r="E3" s="5" t="n"/>
    </row>
    <row r="4">
      <c r="B4" s="54" t="inlineStr">
        <is>
          <t>P(Recovery) = 1 / (1 + exp(-(Z)))</t>
        </is>
      </c>
      <c r="C4" s="55" t="n"/>
      <c r="D4" s="55" t="n"/>
      <c r="E4" s="56" t="n"/>
    </row>
    <row r="5">
      <c r="B5" s="57" t="inlineStr">
        <is>
          <t>Z = 2.5445 + 0.2506×V1 + 1.7070×V2 + 0.7426×V3 + 0.7262×V4 + 0.8278×V5 − 1.8122×V6</t>
        </is>
      </c>
      <c r="C5" s="55" t="n"/>
      <c r="D5" s="55" t="n"/>
      <c r="E5" s="56" t="n"/>
    </row>
    <row r="7">
      <c r="B7" s="4" t="inlineStr">
        <is>
          <t>2. VARIABLE DEFINITIONS</t>
        </is>
      </c>
      <c r="C7" s="5" t="n"/>
      <c r="D7" s="5" t="n"/>
      <c r="E7" s="5" t="n"/>
    </row>
    <row r="8">
      <c r="B8" s="12" t="inlineStr">
        <is>
          <t>Variable</t>
        </is>
      </c>
      <c r="C8" s="12" t="inlineStr">
        <is>
          <t>Definition</t>
        </is>
      </c>
      <c r="D8" s="12" t="inlineStr">
        <is>
          <t>Coefficient</t>
        </is>
      </c>
      <c r="E8" s="12" t="inlineStr">
        <is>
          <t>Interpretation</t>
        </is>
      </c>
    </row>
    <row r="9">
      <c r="B9" s="6" t="inlineStr">
        <is>
          <t>V1</t>
        </is>
      </c>
      <c r="C9" s="35" t="inlineStr">
        <is>
          <t>Working Capital / Total Assets</t>
        </is>
      </c>
      <c r="D9" s="34" t="inlineStr">
        <is>
          <t>+0.2506</t>
        </is>
      </c>
      <c r="E9" s="31" t="inlineStr">
        <is>
          <t>Liquidity measure; higher = more liquid</t>
        </is>
      </c>
    </row>
    <row r="10">
      <c r="B10" s="6" t="inlineStr">
        <is>
          <t>V2</t>
        </is>
      </c>
      <c r="C10" s="35" t="inlineStr">
        <is>
          <t>Retained Earnings / Total Assets</t>
        </is>
      </c>
      <c r="D10" s="34" t="inlineStr">
        <is>
          <t>+1.7070</t>
        </is>
      </c>
      <c r="E10" s="31" t="inlineStr">
        <is>
          <t>Cumulative profitability; strongest positive predictor</t>
        </is>
      </c>
    </row>
    <row r="11">
      <c r="B11" s="6" t="inlineStr">
        <is>
          <t>V3</t>
        </is>
      </c>
      <c r="C11" s="35" t="inlineStr">
        <is>
          <t>EBITDA / Total Debt</t>
        </is>
      </c>
      <c r="D11" s="34" t="inlineStr">
        <is>
          <t>+0.7426</t>
        </is>
      </c>
      <c r="E11" s="31" t="inlineStr">
        <is>
          <t>Debt service capacity from operations</t>
        </is>
      </c>
    </row>
    <row r="12">
      <c r="B12" s="6" t="inlineStr">
        <is>
          <t>V4</t>
        </is>
      </c>
      <c r="C12" s="35" t="inlineStr">
        <is>
          <t>Operating Cash Flow / Total Debt</t>
        </is>
      </c>
      <c r="D12" s="34" t="inlineStr">
        <is>
          <t>+0.7262</t>
        </is>
      </c>
      <c r="E12" s="31" t="inlineStr">
        <is>
          <t>Cash-based debt coverage</t>
        </is>
      </c>
    </row>
    <row r="13">
      <c r="B13" s="6" t="inlineStr">
        <is>
          <t>V5</t>
        </is>
      </c>
      <c r="C13" s="35" t="inlineStr">
        <is>
          <t>Collateral Value / Total Liabilities</t>
        </is>
      </c>
      <c r="D13" s="34" t="inlineStr">
        <is>
          <t>+0.8278</t>
        </is>
      </c>
      <c r="E13" s="31" t="inlineStr">
        <is>
          <t>Asset backing for creditors</t>
        </is>
      </c>
    </row>
    <row r="14">
      <c r="B14" s="6" t="inlineStr">
        <is>
          <t>V6</t>
        </is>
      </c>
      <c r="C14" s="35" t="inlineStr">
        <is>
          <t>Revenue / Total Assets</t>
        </is>
      </c>
      <c r="D14" s="34" t="inlineStr">
        <is>
          <t>−1.8122</t>
        </is>
      </c>
      <c r="E14" s="31" t="inlineStr">
        <is>
          <t>Asset turnover; high values may signal distress</t>
        </is>
      </c>
    </row>
    <row r="16">
      <c r="B16" s="4" t="inlineStr">
        <is>
          <t>3. HAZARD MODEL METHODOLOGY (SHUMWAY 2001)</t>
        </is>
      </c>
      <c r="C16" s="5" t="n"/>
      <c r="D16" s="5" t="n"/>
      <c r="E16" s="5" t="n"/>
    </row>
    <row r="17">
      <c r="B17" s="35" t="inlineStr">
        <is>
          <t>The discrete-time hazard model extends the static LR by modeling failure probability over time.</t>
        </is>
      </c>
      <c r="C17" s="55" t="n"/>
      <c r="D17" s="55" t="n"/>
      <c r="E17" s="56" t="n"/>
    </row>
    <row r="18">
      <c r="B18" s="35" t="inlineStr">
        <is>
          <t>For each year t (1-5), variables are adjusted by a decay factor reflecting deterioration or improvement.</t>
        </is>
      </c>
      <c r="C18" s="55" t="n"/>
      <c r="D18" s="55" t="n"/>
      <c r="E18" s="56" t="n"/>
    </row>
    <row r="19">
      <c r="B19" s="35" t="inlineStr">
        <is>
          <t>Period hazard: h(t) = sigmoid(β₀ + Σβᵢ × Vᵢ × decay(t) + β_time × t + β_covid × COVID(t))</t>
        </is>
      </c>
      <c r="C19" s="55" t="n"/>
      <c r="D19" s="55" t="n"/>
      <c r="E19" s="56" t="n"/>
    </row>
    <row r="20">
      <c r="B20" s="35" t="inlineStr">
        <is>
          <t>Cumulative survival: S(T) = Π(t=1..T) [1 − h(t)]</t>
        </is>
      </c>
      <c r="C20" s="55" t="n"/>
      <c r="D20" s="55" t="n"/>
      <c r="E20" s="56" t="n"/>
    </row>
    <row r="21">
      <c r="B21" s="35" t="inlineStr">
        <is>
          <t>Composite V3 Score = P(Recovery)_LR × S(5)_Hazard</t>
        </is>
      </c>
      <c r="C21" s="55" t="n"/>
      <c r="D21" s="55" t="n"/>
      <c r="E21" s="56" t="n"/>
    </row>
    <row r="22">
      <c r="B22" s="35" t="inlineStr">
        <is>
          <t>Conservative decay for new companies: decay(t) = 1.0 − 0.02 × (t−1)</t>
        </is>
      </c>
      <c r="C22" s="55" t="n"/>
      <c r="D22" s="55" t="n"/>
      <c r="E22" s="56" t="n"/>
    </row>
    <row r="23">
      <c r="B23" s="35" t="inlineStr">
        <is>
          <t>COVID shock indicator: 1 for years 2-3, 0 otherwise (captures pandemic-era regime)</t>
        </is>
      </c>
      <c r="C23" s="55" t="n"/>
      <c r="D23" s="55" t="n"/>
      <c r="E23" s="56" t="n"/>
    </row>
    <row r="25">
      <c r="B25" s="4" t="inlineStr">
        <is>
          <t>4. SCORING ZONES &amp; THRESHOLDS</t>
        </is>
      </c>
      <c r="C25" s="5" t="n"/>
      <c r="D25" s="5" t="n"/>
      <c r="E25" s="5" t="n"/>
    </row>
    <row r="26">
      <c r="B26" s="12" t="inlineStr">
        <is>
          <t>Zone</t>
        </is>
      </c>
      <c r="C26" s="12" t="inlineStr">
        <is>
          <t>RVS Score (Z)</t>
        </is>
      </c>
      <c r="D26" s="12" t="inlineStr">
        <is>
          <t>V3 Composite</t>
        </is>
      </c>
      <c r="E26" s="12" t="inlineStr">
        <is>
          <t>Action</t>
        </is>
      </c>
    </row>
    <row r="27">
      <c r="B27" s="58" t="inlineStr">
        <is>
          <t>Strong / GO</t>
        </is>
      </c>
      <c r="C27" s="34" t="inlineStr">
        <is>
          <t>&gt; 6.0</t>
        </is>
      </c>
      <c r="D27" s="34" t="inlineStr">
        <is>
          <t>≥ 0.65</t>
        </is>
      </c>
      <c r="E27" s="35" t="inlineStr">
        <is>
          <t>Proceed with investment</t>
        </is>
      </c>
    </row>
    <row r="28">
      <c r="B28" s="59" t="inlineStr">
        <is>
          <t>Conditional</t>
        </is>
      </c>
      <c r="C28" s="34" t="inlineStr">
        <is>
          <t>3.5 – 6.0</t>
        </is>
      </c>
      <c r="D28" s="34" t="inlineStr">
        <is>
          <t>0.50 – 0.65</t>
        </is>
      </c>
      <c r="E28" s="35" t="inlineStr">
        <is>
          <t>Additional due diligence required</t>
        </is>
      </c>
    </row>
    <row r="29">
      <c r="B29" s="60" t="inlineStr">
        <is>
          <t>Reject / NO-GO</t>
        </is>
      </c>
      <c r="C29" s="34" t="inlineStr">
        <is>
          <t>&lt; 3.5</t>
        </is>
      </c>
      <c r="D29" s="34" t="inlineStr">
        <is>
          <t>&lt; 0.50</t>
        </is>
      </c>
      <c r="E29" s="35" t="inlineStr">
        <is>
          <t>Do not proceed; high default risk</t>
        </is>
      </c>
    </row>
    <row r="31">
      <c r="B31" s="4" t="inlineStr">
        <is>
          <t>5. VERSION HISTORY</t>
        </is>
      </c>
      <c r="C31" s="5" t="n"/>
      <c r="D31" s="5" t="n"/>
      <c r="E31" s="5" t="n"/>
    </row>
    <row r="32">
      <c r="B32" s="12" t="inlineStr">
        <is>
          <t>Version</t>
        </is>
      </c>
      <c r="C32" s="12" t="inlineStr">
        <is>
          <t>Date</t>
        </is>
      </c>
      <c r="D32" s="12" t="inlineStr">
        <is>
          <t>Changes</t>
        </is>
      </c>
      <c r="E32" s="12" t="inlineStr">
        <is>
          <t>Accuracy</t>
        </is>
      </c>
    </row>
    <row r="33">
      <c r="B33" s="6" t="inlineStr">
        <is>
          <t>v1.0</t>
        </is>
      </c>
      <c r="C33" s="34" t="inlineStr">
        <is>
          <t>2024</t>
        </is>
      </c>
      <c r="D33" s="35" t="inlineStr">
        <is>
          <t>Initial RVS model with 6 financial ratios</t>
        </is>
      </c>
      <c r="E33" s="34" t="inlineStr">
        <is>
          <t>~85%</t>
        </is>
      </c>
    </row>
    <row r="34">
      <c r="B34" s="6" t="inlineStr">
        <is>
          <t>v2.0</t>
        </is>
      </c>
      <c r="C34" s="34" t="inlineStr">
        <is>
          <t>Jan 2026</t>
        </is>
      </c>
      <c r="D34" s="35" t="inlineStr">
        <is>
          <t>Calibrated logistic regression; 47-company backtest</t>
        </is>
      </c>
      <c r="E34" s="34" t="inlineStr">
        <is>
          <t>93.0%</t>
        </is>
      </c>
    </row>
    <row r="35">
      <c r="B35" s="6" t="inlineStr">
        <is>
          <t>v3.0</t>
        </is>
      </c>
      <c r="C35" s="34" t="inlineStr">
        <is>
          <t>Apr 2026</t>
        </is>
      </c>
      <c r="D35" s="35" t="inlineStr">
        <is>
          <t>Added Shumway hazard layer; composite scoring; stress tests</t>
        </is>
      </c>
      <c r="E35" s="34" t="inlineStr">
        <is>
          <t>93.0% (AUC 0.985)</t>
        </is>
      </c>
    </row>
    <row r="37">
      <c r="B37" s="4" t="inlineStr">
        <is>
          <t>6. VALIDATION SUMMARY (12 TESTS)</t>
        </is>
      </c>
      <c r="C37" s="5" t="n"/>
      <c r="D37" s="5" t="n"/>
      <c r="E37" s="5" t="n"/>
    </row>
    <row r="38">
      <c r="B38" s="12" t="inlineStr">
        <is>
          <t>Test</t>
        </is>
      </c>
      <c r="C38" s="12" t="inlineStr">
        <is>
          <t>Description</t>
        </is>
      </c>
      <c r="D38" s="12" t="inlineStr">
        <is>
          <t>Result</t>
        </is>
      </c>
      <c r="E38" s="12" t="inlineStr">
        <is>
          <t>Key Metric</t>
        </is>
      </c>
    </row>
    <row r="39">
      <c r="B39" s="6" t="inlineStr">
        <is>
          <t>Test 1</t>
        </is>
      </c>
      <c r="C39" s="35" t="inlineStr">
        <is>
          <t>Sector-Specific Accuracy</t>
        </is>
      </c>
      <c r="D39" s="61" t="inlineStr">
        <is>
          <t>PASS</t>
        </is>
      </c>
      <c r="E39" s="31" t="inlineStr">
        <is>
          <t>All sectors ≥ 75%</t>
        </is>
      </c>
    </row>
    <row r="40">
      <c r="B40" s="6" t="inlineStr">
        <is>
          <t>Test 2</t>
        </is>
      </c>
      <c r="C40" s="35" t="inlineStr">
        <is>
          <t>Temporal Stability</t>
        </is>
      </c>
      <c r="D40" s="61" t="inlineStr">
        <is>
          <t>PASS</t>
        </is>
      </c>
      <c r="E40" s="31" t="inlineStr">
        <is>
          <t>Max gap &lt; 20%</t>
        </is>
      </c>
    </row>
    <row r="41">
      <c r="B41" s="6" t="inlineStr">
        <is>
          <t>Test 3</t>
        </is>
      </c>
      <c r="C41" s="35" t="inlineStr">
        <is>
          <t>Variable Importance</t>
        </is>
      </c>
      <c r="D41" s="61" t="inlineStr">
        <is>
          <t>PASS</t>
        </is>
      </c>
      <c r="E41" s="31" t="inlineStr">
        <is>
          <t>No single var &gt; 50%</t>
        </is>
      </c>
    </row>
    <row r="42">
      <c r="B42" s="6" t="inlineStr">
        <is>
          <t>Test 4</t>
        </is>
      </c>
      <c r="C42" s="35" t="inlineStr">
        <is>
          <t>Threshold Optimization</t>
        </is>
      </c>
      <c r="D42" s="61" t="inlineStr">
        <is>
          <t>PASS</t>
        </is>
      </c>
      <c r="E42" s="31" t="inlineStr">
        <is>
          <t>Optimal at 0.50</t>
        </is>
      </c>
    </row>
    <row r="43">
      <c r="B43" s="6" t="inlineStr">
        <is>
          <t>Test 5</t>
        </is>
      </c>
      <c r="C43" s="35" t="inlineStr">
        <is>
          <t>K-Fold Cross-Validation</t>
        </is>
      </c>
      <c r="D43" s="61" t="inlineStr">
        <is>
          <t>PASS</t>
        </is>
      </c>
      <c r="E43" s="31" t="inlineStr">
        <is>
          <t>Mean CV acc &gt; 80%</t>
        </is>
      </c>
    </row>
    <row r="44">
      <c r="B44" s="6" t="inlineStr">
        <is>
          <t>Test 6</t>
        </is>
      </c>
      <c r="C44" s="35" t="inlineStr">
        <is>
          <t>Sensitivity Analysis</t>
        </is>
      </c>
      <c r="D44" s="61" t="inlineStr">
        <is>
          <t>PASS</t>
        </is>
      </c>
      <c r="E44" s="31" t="inlineStr">
        <is>
          <t>Robust to ±20% perturbation</t>
        </is>
      </c>
    </row>
    <row r="45">
      <c r="B45" s="6" t="inlineStr">
        <is>
          <t>Test 7</t>
        </is>
      </c>
      <c r="C45" s="35" t="inlineStr">
        <is>
          <t>Altman Z Comparison</t>
        </is>
      </c>
      <c r="D45" s="61" t="inlineStr">
        <is>
          <t>PASS</t>
        </is>
      </c>
      <c r="E45" s="31" t="inlineStr">
        <is>
          <t>RVS outperforms Altman Z</t>
        </is>
      </c>
    </row>
    <row r="46">
      <c r="B46" s="6" t="inlineStr">
        <is>
          <t>Test 8</t>
        </is>
      </c>
      <c r="C46" s="35" t="inlineStr">
        <is>
          <t>Extreme Stress Test</t>
        </is>
      </c>
      <c r="D46" s="61" t="inlineStr">
        <is>
          <t>PASS</t>
        </is>
      </c>
      <c r="E46" s="31" t="inlineStr">
        <is>
          <t>&lt; 40% downgrades in worst case</t>
        </is>
      </c>
    </row>
    <row r="47">
      <c r="B47" s="6" t="inlineStr">
        <is>
          <t>Test 9</t>
        </is>
      </c>
      <c r="C47" s="35" t="inlineStr">
        <is>
          <t>Missing Data Robustness</t>
        </is>
      </c>
      <c r="D47" s="61" t="inlineStr">
        <is>
          <t>PASS</t>
        </is>
      </c>
      <c r="E47" s="31" t="inlineStr">
        <is>
          <t>V5 missing: &lt; 10% verdict change</t>
        </is>
      </c>
    </row>
    <row r="48">
      <c r="B48" s="6" t="inlineStr">
        <is>
          <t>Test 10</t>
        </is>
      </c>
      <c r="C48" s="35" t="inlineStr">
        <is>
          <t>Forward-Looking Validation</t>
        </is>
      </c>
      <c r="D48" s="61" t="inlineStr">
        <is>
          <t>PASS</t>
        </is>
      </c>
      <c r="E48" s="31" t="inlineStr">
        <is>
          <t>93.0% accuracy, AUC 0.985</t>
        </is>
      </c>
    </row>
    <row r="49">
      <c r="B49" s="6" t="inlineStr">
        <is>
          <t>Test 11</t>
        </is>
      </c>
      <c r="C49" s="35" t="inlineStr">
        <is>
          <t>Hazard Discrimination</t>
        </is>
      </c>
      <c r="D49" s="61" t="inlineStr">
        <is>
          <t>PASS</t>
        </is>
      </c>
      <c r="E49" s="31" t="inlineStr">
        <is>
          <t>Hazard AUC = 0.985</t>
        </is>
      </c>
    </row>
    <row r="50">
      <c r="B50" s="6" t="inlineStr">
        <is>
          <t>Test 12</t>
        </is>
      </c>
      <c r="C50" s="35" t="inlineStr">
        <is>
          <t>Survival Calibration (LOO)</t>
        </is>
      </c>
      <c r="D50" s="61" t="inlineStr">
        <is>
          <t>PASS</t>
        </is>
      </c>
      <c r="E50" s="31" t="inlineStr">
        <is>
          <t>LOO AUC = 0.979</t>
        </is>
      </c>
    </row>
    <row r="52">
      <c r="B52" s="62" t="inlineStr">
        <is>
          <t>References: Altman (1968), Shumway (2001), Ohlson (1980), Basel III IRB Framework</t>
        </is>
      </c>
    </row>
  </sheetData>
  <mergeCells count="17">
    <mergeCell ref="B20:E20"/>
    <mergeCell ref="B31:E31"/>
    <mergeCell ref="B17:E17"/>
    <mergeCell ref="B18:E18"/>
    <mergeCell ref="B23:E23"/>
    <mergeCell ref="B4:E4"/>
    <mergeCell ref="B37:E37"/>
    <mergeCell ref="B52:E52"/>
    <mergeCell ref="B21:E21"/>
    <mergeCell ref="B16:E16"/>
    <mergeCell ref="B7:E7"/>
    <mergeCell ref="A1:E1"/>
    <mergeCell ref="B25:E25"/>
    <mergeCell ref="B3:E3"/>
    <mergeCell ref="B5:E5"/>
    <mergeCell ref="B19:E19"/>
    <mergeCell ref="B22:E22"/>
  </mergeCells>
  <pageMargins left="0.75" right="0.75" top="1" bottom="1" header="0.5" footer="0.5"/>
  <pageSetup orientation="landscape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2026-04-17T05:35:45Z</dcterms:created>
  <dcterms:modified xmlns:dcterms="http://purl.org/dc/terms/" xmlns:xsi="http://www.w3.org/2001/XMLSchema-instance" xsi:type="dcterms:W3CDTF">2026-04-17T05:35:45Z</dcterms:modified>
</cp:coreProperties>
</file>