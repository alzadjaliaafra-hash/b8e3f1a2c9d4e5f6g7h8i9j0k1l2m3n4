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Financials" sheetId="2" state="visible" r:id="rId2"/>
    <sheet xmlns:r="http://schemas.openxmlformats.org/officeDocument/2006/relationships" name="RVS Scorecard" sheetId="3" state="visible" r:id="rId3"/>
    <sheet xmlns:r="http://schemas.openxmlformats.org/officeDocument/2006/relationships" name="Hazard Analysis" sheetId="4" state="visible" r:id="rId4"/>
    <sheet xmlns:r="http://schemas.openxmlformats.org/officeDocument/2006/relationships" name="Stress Test Results" sheetId="5" state="visible" r:id="rId5"/>
    <sheet xmlns:r="http://schemas.openxmlformats.org/officeDocument/2006/relationships" name="Sector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13">
    <font>
      <name val="Calibri"/>
      <family val="2"/>
      <color theme="1"/>
      <sz val="11"/>
      <scheme val="minor"/>
    </font>
    <font>
      <b val="1"/>
      <color rgb="00002060"/>
      <sz val="14"/>
    </font>
    <font>
      <b val="1"/>
      <color rgb="00002060"/>
      <sz val="11"/>
    </font>
    <font>
      <i val="1"/>
      <color rgb="00666666"/>
      <sz val="10"/>
    </font>
    <font>
      <b val="1"/>
      <color rgb="00FFFFFF"/>
      <sz val="11"/>
    </font>
    <font>
      <sz val="10"/>
    </font>
    <font>
      <b val="1"/>
      <sz val="10"/>
    </font>
    <font>
      <i val="1"/>
      <color rgb="00FF0000"/>
      <sz val="9"/>
    </font>
    <font>
      <i val="1"/>
      <color rgb="00666666"/>
      <sz val="9"/>
    </font>
    <font>
      <sz val="9"/>
    </font>
    <font>
      <color rgb="00FF0000"/>
      <sz val="10"/>
    </font>
    <font>
      <i val="1"/>
      <color rgb="00333333"/>
      <sz val="10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0" borderId="1" pivotButton="0" quotePrefix="0" xfId="0"/>
    <xf numFmtId="0" fontId="6" fillId="0" borderId="1" pivotButton="0" quotePrefix="0" xfId="0"/>
    <xf numFmtId="0" fontId="6" fillId="3" borderId="1" applyAlignment="1" pivotButton="0" quotePrefix="0" xfId="0">
      <alignment horizontal="center"/>
    </xf>
    <xf numFmtId="0" fontId="5" fillId="4" borderId="1" pivotButton="0" quotePrefix="0" xfId="0"/>
    <xf numFmtId="0" fontId="6" fillId="4" borderId="1" pivotButton="0" quotePrefix="0" xfId="0"/>
    <xf numFmtId="0" fontId="6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0" fillId="0" borderId="1" pivotButton="0" quotePrefix="0" xfId="0"/>
    <xf numFmtId="0" fontId="9" fillId="0" borderId="1" pivotButton="0" quotePrefix="0" xfId="0"/>
    <xf numFmtId="0" fontId="10" fillId="4" borderId="1" pivotButton="0" quotePrefix="0" xfId="0"/>
    <xf numFmtId="0" fontId="9" fillId="4" borderId="1" pivotButton="0" quotePrefix="0" xfId="0"/>
    <xf numFmtId="164" fontId="10" fillId="0" borderId="1" pivotButton="0" quotePrefix="0" xfId="0"/>
    <xf numFmtId="164" fontId="5" fillId="0" borderId="1" pivotButton="0" quotePrefix="0" xfId="0"/>
    <xf numFmtId="0" fontId="11" fillId="0" borderId="0" pivotButton="0" quotePrefix="0" xfId="0"/>
    <xf numFmtId="164" fontId="10" fillId="4" borderId="1" pivotButton="0" quotePrefix="0" xfId="0"/>
    <xf numFmtId="164" fontId="5" fillId="4" borderId="1" pivotButton="0" quotePrefix="0" xfId="0"/>
    <xf numFmtId="165" fontId="5" fillId="0" borderId="1" pivotButton="0" quotePrefix="0" xfId="0"/>
    <xf numFmtId="164" fontId="6" fillId="0" borderId="1" pivotButton="0" quotePrefix="0" xfId="0"/>
    <xf numFmtId="165" fontId="5" fillId="4" borderId="1" pivotButton="0" quotePrefix="0" xfId="0"/>
    <xf numFmtId="164" fontId="6" fillId="4" borderId="1" pivotButton="0" quotePrefix="0" xfId="0"/>
    <xf numFmtId="0" fontId="6" fillId="3" borderId="0" pivotButton="0" quotePrefix="0" xfId="0"/>
    <xf numFmtId="0" fontId="6" fillId="3" borderId="0" applyAlignment="1" pivotButton="0" quotePrefix="0" xfId="0">
      <alignment horizontal="center"/>
    </xf>
    <xf numFmtId="0" fontId="6" fillId="5" borderId="0" pivotButton="0" quotePrefix="0" xfId="0"/>
    <xf numFmtId="0" fontId="6" fillId="5" borderId="0" applyAlignment="1" pivotButton="0" quotePrefix="0" xfId="0">
      <alignment horizontal="center"/>
    </xf>
    <xf numFmtId="0" fontId="6" fillId="6" borderId="0" pivotButton="0" quotePrefix="0" xfId="0"/>
    <xf numFmtId="0" fontId="6" fillId="6" borderId="0" applyAlignment="1" pivotButton="0" quotePrefix="0" xfId="0">
      <alignment horizontal="center"/>
    </xf>
    <xf numFmtId="0" fontId="12" fillId="6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8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6" customWidth="1" min="10" max="10"/>
  </cols>
  <sheetData>
    <row r="1">
      <c r="A1" s="1" t="inlineStr">
        <is>
          <t>SRFF-I RVS v3.0 — 13 MSX Company Screening</t>
        </is>
      </c>
    </row>
    <row r="2">
      <c r="A2" s="2" t="inlineStr">
        <is>
          <t>Sohar International Bank — Investment Committee Screening Report</t>
        </is>
      </c>
    </row>
    <row r="3">
      <c r="A3" s="3" t="inlineStr">
        <is>
          <t>Date: April 17, 2026 | Model: SRFF-I RVS v3.0 with Hazard Layer</t>
        </is>
      </c>
    </row>
    <row r="5">
      <c r="A5" s="4" t="inlineStr">
        <is>
          <t>Rank</t>
        </is>
      </c>
      <c r="B5" s="4" t="inlineStr">
        <is>
          <t>Company</t>
        </is>
      </c>
      <c r="C5" s="4" t="inlineStr">
        <is>
          <t>Ticker</t>
        </is>
      </c>
      <c r="D5" s="4" t="inlineStr">
        <is>
          <t>Sector</t>
        </is>
      </c>
      <c r="E5" s="4" t="inlineStr">
        <is>
          <t>RVS Score (Z)</t>
        </is>
      </c>
      <c r="F5" s="4" t="inlineStr">
        <is>
          <t>P(Recovery)</t>
        </is>
      </c>
      <c r="G5" s="4" t="inlineStr">
        <is>
          <t>5yr Survival</t>
        </is>
      </c>
      <c r="H5" s="4" t="inlineStr">
        <is>
          <t>Composite V3</t>
        </is>
      </c>
      <c r="I5" s="4" t="inlineStr">
        <is>
          <t>Verdict</t>
        </is>
      </c>
      <c r="J5" s="4" t="inlineStr">
        <is>
          <t>Stress Resilience</t>
        </is>
      </c>
    </row>
    <row r="6">
      <c r="A6" s="5" t="n">
        <v>1</v>
      </c>
      <c r="B6" s="5" t="inlineStr">
        <is>
          <t>Al Suwadi Power</t>
        </is>
      </c>
      <c r="C6" s="6" t="inlineStr">
        <is>
          <t>SUWP</t>
        </is>
      </c>
      <c r="D6" s="5" t="inlineStr">
        <is>
          <t>Services</t>
        </is>
      </c>
      <c r="E6" s="5" t="n">
        <v>3.3917</v>
      </c>
      <c r="F6" s="5" t="n">
        <v>0.9674</v>
      </c>
      <c r="G6" s="5" t="n">
        <v>0.995</v>
      </c>
      <c r="H6" s="6" t="n">
        <v>0.9626</v>
      </c>
      <c r="I6" s="7" t="inlineStr">
        <is>
          <t>GO</t>
        </is>
      </c>
      <c r="J6" s="5" t="inlineStr">
        <is>
          <t>Robust</t>
        </is>
      </c>
    </row>
    <row r="7">
      <c r="A7" s="8" t="n">
        <v>2</v>
      </c>
      <c r="B7" s="8" t="inlineStr">
        <is>
          <t>Al Batinah Power</t>
        </is>
      </c>
      <c r="C7" s="9" t="inlineStr">
        <is>
          <t>BATP</t>
        </is>
      </c>
      <c r="D7" s="8" t="inlineStr">
        <is>
          <t>Services</t>
        </is>
      </c>
      <c r="E7" s="8" t="n">
        <v>3.3815</v>
      </c>
      <c r="F7" s="8" t="n">
        <v>0.9671</v>
      </c>
      <c r="G7" s="8" t="n">
        <v>0.995</v>
      </c>
      <c r="H7" s="9" t="n">
        <v>0.9623</v>
      </c>
      <c r="I7" s="7" t="inlineStr">
        <is>
          <t>GO</t>
        </is>
      </c>
      <c r="J7" s="8" t="inlineStr">
        <is>
          <t>Robust</t>
        </is>
      </c>
    </row>
    <row r="8">
      <c r="A8" s="5" t="n">
        <v>3</v>
      </c>
      <c r="B8" s="5" t="inlineStr">
        <is>
          <t>Arabia Falcon Insurance</t>
        </is>
      </c>
      <c r="C8" s="6" t="inlineStr">
        <is>
          <t>AFIC</t>
        </is>
      </c>
      <c r="D8" s="5" t="inlineStr">
        <is>
          <t>Financial</t>
        </is>
      </c>
      <c r="E8" s="5" t="n">
        <v>2.8398</v>
      </c>
      <c r="F8" s="5" t="n">
        <v>0.9448</v>
      </c>
      <c r="G8" s="5" t="n">
        <v>0.9933</v>
      </c>
      <c r="H8" s="6" t="n">
        <v>0.9384</v>
      </c>
      <c r="I8" s="7" t="inlineStr">
        <is>
          <t>GO</t>
        </is>
      </c>
      <c r="J8" s="5" t="inlineStr">
        <is>
          <t>Robust</t>
        </is>
      </c>
    </row>
    <row r="9">
      <c r="A9" s="8" t="n">
        <v>4</v>
      </c>
      <c r="B9" s="8" t="inlineStr">
        <is>
          <t>Al Madina Takaful</t>
        </is>
      </c>
      <c r="C9" s="9" t="inlineStr">
        <is>
          <t>AMAT</t>
        </is>
      </c>
      <c r="D9" s="8" t="inlineStr">
        <is>
          <t>Financial</t>
        </is>
      </c>
      <c r="E9" s="8" t="n">
        <v>2.6022</v>
      </c>
      <c r="F9" s="8" t="n">
        <v>0.931</v>
      </c>
      <c r="G9" s="8" t="n">
        <v>0.9896</v>
      </c>
      <c r="H9" s="9" t="n">
        <v>0.9214</v>
      </c>
      <c r="I9" s="7" t="inlineStr">
        <is>
          <t>GO</t>
        </is>
      </c>
      <c r="J9" s="8" t="inlineStr">
        <is>
          <t>Robust</t>
        </is>
      </c>
    </row>
    <row r="10">
      <c r="A10" s="5" t="n">
        <v>5</v>
      </c>
      <c r="B10" s="5" t="inlineStr">
        <is>
          <t>Ooredoo Oman</t>
        </is>
      </c>
      <c r="C10" s="6" t="inlineStr">
        <is>
          <t>ORDS</t>
        </is>
      </c>
      <c r="D10" s="5" t="inlineStr">
        <is>
          <t>Services</t>
        </is>
      </c>
      <c r="E10" s="5" t="n">
        <v>2.3807</v>
      </c>
      <c r="F10" s="5" t="n">
        <v>0.9153</v>
      </c>
      <c r="G10" s="5" t="n">
        <v>0.995</v>
      </c>
      <c r="H10" s="6" t="n">
        <v>0.9108000000000001</v>
      </c>
      <c r="I10" s="7" t="inlineStr">
        <is>
          <t>GO</t>
        </is>
      </c>
      <c r="J10" s="5" t="inlineStr">
        <is>
          <t>Robust</t>
        </is>
      </c>
    </row>
    <row r="11">
      <c r="A11" s="8" t="n">
        <v>6</v>
      </c>
      <c r="B11" s="8" t="inlineStr">
        <is>
          <t>Raysut Cement</t>
        </is>
      </c>
      <c r="C11" s="9" t="inlineStr">
        <is>
          <t>RCCI</t>
        </is>
      </c>
      <c r="D11" s="8" t="inlineStr">
        <is>
          <t>Industrial</t>
        </is>
      </c>
      <c r="E11" s="8" t="n">
        <v>2.338</v>
      </c>
      <c r="F11" s="8" t="n">
        <v>0.912</v>
      </c>
      <c r="G11" s="8" t="n">
        <v>0.995</v>
      </c>
      <c r="H11" s="9" t="n">
        <v>0.9074</v>
      </c>
      <c r="I11" s="7" t="inlineStr">
        <is>
          <t>GO</t>
        </is>
      </c>
      <c r="J11" s="8" t="inlineStr">
        <is>
          <t>Robust</t>
        </is>
      </c>
    </row>
    <row r="12">
      <c r="A12" s="5" t="n">
        <v>7</v>
      </c>
      <c r="B12" s="5" t="inlineStr">
        <is>
          <t>Ubar Hotels and Resorts</t>
        </is>
      </c>
      <c r="C12" s="6" t="inlineStr">
        <is>
          <t>UBAR</t>
        </is>
      </c>
      <c r="D12" s="5" t="inlineStr">
        <is>
          <t>Services</t>
        </is>
      </c>
      <c r="E12" s="5" t="n">
        <v>2.0484</v>
      </c>
      <c r="F12" s="5" t="n">
        <v>0.8858</v>
      </c>
      <c r="G12" s="5" t="n">
        <v>0.995</v>
      </c>
      <c r="H12" s="6" t="n">
        <v>0.8814</v>
      </c>
      <c r="I12" s="7" t="inlineStr">
        <is>
          <t>GO</t>
        </is>
      </c>
      <c r="J12" s="5" t="inlineStr">
        <is>
          <t>Robust</t>
        </is>
      </c>
    </row>
    <row r="13">
      <c r="A13" s="8" t="n">
        <v>8</v>
      </c>
      <c r="B13" s="8" t="inlineStr">
        <is>
          <t>Oman Refreshment</t>
        </is>
      </c>
      <c r="C13" s="9" t="inlineStr">
        <is>
          <t>ORCI</t>
        </is>
      </c>
      <c r="D13" s="8" t="inlineStr">
        <is>
          <t>Industrial</t>
        </is>
      </c>
      <c r="E13" s="8" t="n">
        <v>1.3876</v>
      </c>
      <c r="F13" s="8" t="n">
        <v>0.8002</v>
      </c>
      <c r="G13" s="8" t="n">
        <v>0.995</v>
      </c>
      <c r="H13" s="9" t="n">
        <v>0.7962</v>
      </c>
      <c r="I13" s="7" t="inlineStr">
        <is>
          <t>GO</t>
        </is>
      </c>
      <c r="J13" s="8" t="inlineStr">
        <is>
          <t>Robust</t>
        </is>
      </c>
    </row>
    <row r="14">
      <c r="A14" s="5" t="n">
        <v>9</v>
      </c>
      <c r="B14" s="5" t="inlineStr">
        <is>
          <t>National Gas</t>
        </is>
      </c>
      <c r="C14" s="6" t="inlineStr">
        <is>
          <t>NGCI</t>
        </is>
      </c>
      <c r="D14" s="5" t="inlineStr">
        <is>
          <t>Services</t>
        </is>
      </c>
      <c r="E14" s="5" t="n">
        <v>0.9849</v>
      </c>
      <c r="F14" s="5" t="n">
        <v>0.7281</v>
      </c>
      <c r="G14" s="5" t="n">
        <v>0.995</v>
      </c>
      <c r="H14" s="6" t="n">
        <v>0.7244</v>
      </c>
      <c r="I14" s="7" t="inlineStr">
        <is>
          <t>GO</t>
        </is>
      </c>
      <c r="J14" s="5" t="inlineStr">
        <is>
          <t>Robust</t>
        </is>
      </c>
    </row>
    <row r="15">
      <c r="A15" s="8" t="n">
        <v>10</v>
      </c>
      <c r="B15" s="8" t="inlineStr">
        <is>
          <t>National Aluminium Products</t>
        </is>
      </c>
      <c r="C15" s="9" t="inlineStr">
        <is>
          <t>NAPI</t>
        </is>
      </c>
      <c r="D15" s="8" t="inlineStr">
        <is>
          <t>Industrial</t>
        </is>
      </c>
      <c r="E15" s="8" t="n">
        <v>0.7235</v>
      </c>
      <c r="F15" s="8" t="n">
        <v>0.6734</v>
      </c>
      <c r="G15" s="8" t="n">
        <v>0.995</v>
      </c>
      <c r="H15" s="9" t="n">
        <v>0.67</v>
      </c>
      <c r="I15" s="7" t="inlineStr">
        <is>
          <t>GO</t>
        </is>
      </c>
      <c r="J15" s="8" t="inlineStr">
        <is>
          <t>Robust</t>
        </is>
      </c>
    </row>
    <row r="16">
      <c r="A16" s="5" t="n">
        <v>11</v>
      </c>
      <c r="B16" s="5" t="inlineStr">
        <is>
          <t>Al Fajar Al Alamia</t>
        </is>
      </c>
      <c r="C16" s="6" t="inlineStr">
        <is>
          <t>AFAI</t>
        </is>
      </c>
      <c r="D16" s="5" t="inlineStr">
        <is>
          <t>Industrial</t>
        </is>
      </c>
      <c r="E16" s="5" t="n">
        <v>0.1992</v>
      </c>
      <c r="F16" s="5" t="n">
        <v>0.5496</v>
      </c>
      <c r="G16" s="5" t="n">
        <v>0.9949</v>
      </c>
      <c r="H16" s="6" t="n">
        <v>0.5468</v>
      </c>
      <c r="I16" s="10" t="inlineStr">
        <is>
          <t>CONDITIONAL</t>
        </is>
      </c>
      <c r="J16" s="5" t="inlineStr">
        <is>
          <t>Robust</t>
        </is>
      </c>
    </row>
    <row r="17">
      <c r="A17" s="8" t="n">
        <v>12</v>
      </c>
      <c r="B17" s="8" t="inlineStr">
        <is>
          <t>Takaful Oman</t>
        </is>
      </c>
      <c r="C17" s="9" t="inlineStr">
        <is>
          <t>TAOI</t>
        </is>
      </c>
      <c r="D17" s="8" t="inlineStr">
        <is>
          <t>Financial</t>
        </is>
      </c>
      <c r="E17" s="8" t="n">
        <v>1.1935</v>
      </c>
      <c r="F17" s="8" t="n">
        <v>0.7674</v>
      </c>
      <c r="G17" s="8" t="n">
        <v>0.6577</v>
      </c>
      <c r="H17" s="9" t="n">
        <v>0.5047</v>
      </c>
      <c r="I17" s="10" t="inlineStr">
        <is>
          <t>CONDITIONAL</t>
        </is>
      </c>
      <c r="J17" s="8" t="inlineStr">
        <is>
          <t>Robust</t>
        </is>
      </c>
    </row>
    <row r="18">
      <c r="A18" s="5" t="n">
        <v>13</v>
      </c>
      <c r="B18" s="5" t="inlineStr">
        <is>
          <t>Al Maha Ceramics</t>
        </is>
      </c>
      <c r="C18" s="6" t="inlineStr">
        <is>
          <t>AMCI</t>
        </is>
      </c>
      <c r="D18" s="5" t="inlineStr">
        <is>
          <t>Industrial</t>
        </is>
      </c>
      <c r="E18" s="5" t="n">
        <v>-0.7866</v>
      </c>
      <c r="F18" s="5" t="n">
        <v>0.3129</v>
      </c>
      <c r="G18" s="5" t="n">
        <v>0.9423</v>
      </c>
      <c r="H18" s="6" t="n">
        <v>0.2949</v>
      </c>
      <c r="I18" s="11" t="inlineStr">
        <is>
          <t>NO-GO</t>
        </is>
      </c>
      <c r="J18" s="5" t="inlineStr">
        <is>
          <t>Robust</t>
        </is>
      </c>
    </row>
    <row r="20">
      <c r="A20" s="2" t="inlineStr">
        <is>
          <t>SUMMARY STATISTICS</t>
        </is>
      </c>
    </row>
    <row r="21">
      <c r="B21" s="12" t="inlineStr">
        <is>
          <t>Total Companies Screened</t>
        </is>
      </c>
      <c r="D21" s="13" t="n">
        <v>13</v>
      </c>
    </row>
    <row r="22">
      <c r="B22" s="12" t="inlineStr">
        <is>
          <t>GO Verdicts</t>
        </is>
      </c>
      <c r="D22" s="13" t="n">
        <v>10</v>
      </c>
    </row>
    <row r="23">
      <c r="B23" s="12" t="inlineStr">
        <is>
          <t>CONDITIONAL Verdicts</t>
        </is>
      </c>
      <c r="D23" s="13" t="n">
        <v>2</v>
      </c>
    </row>
    <row r="24">
      <c r="B24" s="12" t="inlineStr">
        <is>
          <t>NO-GO Verdicts</t>
        </is>
      </c>
      <c r="D24" s="13" t="n">
        <v>1</v>
      </c>
    </row>
    <row r="25">
      <c r="B25" s="12" t="inlineStr">
        <is>
          <t>Pass Rate (GO + CONDITIONAL)</t>
        </is>
      </c>
      <c r="D25" s="13" t="inlineStr">
        <is>
          <t>92.3%</t>
        </is>
      </c>
    </row>
    <row r="26">
      <c r="B26" s="12" t="inlineStr">
        <is>
          <t>Average Composite V3</t>
        </is>
      </c>
      <c r="D26" s="13" t="inlineStr">
        <is>
          <t>0.7709</t>
        </is>
      </c>
    </row>
    <row r="27">
      <c r="B27" s="12" t="inlineStr">
        <is>
          <t>Average P(Recovery)</t>
        </is>
      </c>
      <c r="D27" s="13" t="inlineStr">
        <is>
          <t>0.7965</t>
        </is>
      </c>
    </row>
    <row r="28">
      <c r="B28" s="12" t="inlineStr">
        <is>
          <t>Average 5yr Survival</t>
        </is>
      </c>
      <c r="D28" s="13" t="inlineStr">
        <is>
          <t>0.9645</t>
        </is>
      </c>
    </row>
    <row r="29">
      <c r="B29" s="12" t="inlineStr">
        <is>
          <t>Data Source</t>
        </is>
      </c>
      <c r="D29" s="13" t="inlineStr">
        <is>
          <t>1 YF actual, 12 FSC+estimates</t>
        </is>
      </c>
    </row>
    <row r="31">
      <c r="A31" s="14" t="inlineStr">
        <is>
          <t>DISCLAIMER: Only AMCI has confirmed Yahoo Finance balance sheet data. All other companies use FSC report P&amp;L with estimated balance sheet items based on Omani sector benchmarks. See Sheet 2 for data source flags.</t>
        </is>
      </c>
    </row>
  </sheetData>
  <mergeCells count="4">
    <mergeCell ref="A1:J1"/>
    <mergeCell ref="A31:J3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Detailed Financial Data — All 13 Companies</t>
        </is>
      </c>
    </row>
    <row r="2">
      <c r="A2" s="15" t="inlineStr">
        <is>
          <t>Values in OMR Millions | Source: YF = Yahoo Finance, FSC = FSC Report, EST = Estimated from sector benchmarks</t>
        </is>
      </c>
    </row>
    <row r="4">
      <c r="A4" s="4" t="inlineStr">
        <is>
          <t>Ticker</t>
        </is>
      </c>
      <c r="B4" s="4" t="inlineStr">
        <is>
          <t>Company</t>
        </is>
      </c>
      <c r="C4" s="4" t="inlineStr">
        <is>
          <t>Sector</t>
        </is>
      </c>
      <c r="D4" s="4" t="inlineStr">
        <is>
          <t>Total Assets</t>
        </is>
      </c>
      <c r="E4" s="4" t="inlineStr">
        <is>
          <t>Total Liabilities</t>
        </is>
      </c>
      <c r="F4" s="4" t="inlineStr">
        <is>
          <t>Total Debt</t>
        </is>
      </c>
      <c r="G4" s="4" t="inlineStr">
        <is>
          <t>Current Assets</t>
        </is>
      </c>
      <c r="H4" s="4" t="inlineStr">
        <is>
          <t>Current Liabilities</t>
        </is>
      </c>
      <c r="I4" s="4" t="inlineStr">
        <is>
          <t>Working Capital</t>
        </is>
      </c>
      <c r="J4" s="4" t="inlineStr">
        <is>
          <t>Retained Earnings</t>
        </is>
      </c>
      <c r="K4" s="4" t="inlineStr">
        <is>
          <t>Revenue</t>
        </is>
      </c>
      <c r="L4" s="4" t="inlineStr">
        <is>
          <t>EBITDA</t>
        </is>
      </c>
      <c r="M4" s="4" t="inlineStr">
        <is>
          <t>Operating CF</t>
        </is>
      </c>
      <c r="N4" s="4" t="inlineStr">
        <is>
          <t>PPE Net</t>
        </is>
      </c>
      <c r="O4" s="4" t="inlineStr">
        <is>
          <t>Net Profit FY24</t>
        </is>
      </c>
      <c r="P4" s="4" t="inlineStr">
        <is>
          <t>Net Profit FY23</t>
        </is>
      </c>
      <c r="Q4" s="4" t="inlineStr">
        <is>
          <t>Data Source</t>
        </is>
      </c>
    </row>
    <row r="5">
      <c r="A5" s="6" t="inlineStr">
        <is>
          <t>SUWP</t>
        </is>
      </c>
      <c r="B5" s="5" t="inlineStr">
        <is>
          <t>Al Suwadi Power</t>
        </is>
      </c>
      <c r="C5" s="5" t="inlineStr">
        <is>
          <t>Services</t>
        </is>
      </c>
      <c r="D5" s="5" t="n">
        <v>350</v>
      </c>
      <c r="E5" s="5" t="n">
        <v>280</v>
      </c>
      <c r="F5" s="5" t="n">
        <v>230</v>
      </c>
      <c r="G5" s="5" t="n">
        <v>40</v>
      </c>
      <c r="H5" s="5" t="n">
        <v>50</v>
      </c>
      <c r="I5" s="16" t="n">
        <v>-10</v>
      </c>
      <c r="J5" s="5" t="n">
        <v>20</v>
      </c>
      <c r="K5" s="5" t="n">
        <v>60</v>
      </c>
      <c r="L5" s="5" t="n">
        <v>40</v>
      </c>
      <c r="M5" s="5" t="n">
        <v>35</v>
      </c>
      <c r="N5" s="5" t="n">
        <v>280</v>
      </c>
      <c r="O5" s="5" t="n">
        <v>14.602</v>
      </c>
      <c r="P5" s="5" t="n">
        <v>14.535</v>
      </c>
      <c r="Q5" s="17" t="inlineStr">
        <is>
          <t>YF:0 FSC:2 EST:10</t>
        </is>
      </c>
    </row>
    <row r="6">
      <c r="A6" s="9" t="inlineStr">
        <is>
          <t>BATP</t>
        </is>
      </c>
      <c r="B6" s="8" t="inlineStr">
        <is>
          <t>Al Batinah Power</t>
        </is>
      </c>
      <c r="C6" s="8" t="inlineStr">
        <is>
          <t>Services</t>
        </is>
      </c>
      <c r="D6" s="8" t="n">
        <v>320</v>
      </c>
      <c r="E6" s="8" t="n">
        <v>260</v>
      </c>
      <c r="F6" s="8" t="n">
        <v>210</v>
      </c>
      <c r="G6" s="8" t="n">
        <v>35</v>
      </c>
      <c r="H6" s="8" t="n">
        <v>45</v>
      </c>
      <c r="I6" s="18" t="n">
        <v>-10</v>
      </c>
      <c r="J6" s="8" t="n">
        <v>15</v>
      </c>
      <c r="K6" s="8" t="n">
        <v>55</v>
      </c>
      <c r="L6" s="8" t="n">
        <v>38</v>
      </c>
      <c r="M6" s="8" t="n">
        <v>33</v>
      </c>
      <c r="N6" s="8" t="n">
        <v>260</v>
      </c>
      <c r="O6" s="8" t="n">
        <v>14.102</v>
      </c>
      <c r="P6" s="8" t="n">
        <v>12.705</v>
      </c>
      <c r="Q6" s="19" t="inlineStr">
        <is>
          <t>YF:0 FSC:2 EST:10</t>
        </is>
      </c>
    </row>
    <row r="7">
      <c r="A7" s="6" t="inlineStr">
        <is>
          <t>AFIC</t>
        </is>
      </c>
      <c r="B7" s="5" t="inlineStr">
        <is>
          <t>Arabia Falcon Insurance</t>
        </is>
      </c>
      <c r="C7" s="5" t="inlineStr">
        <is>
          <t>Financial</t>
        </is>
      </c>
      <c r="D7" s="5" t="n">
        <v>35</v>
      </c>
      <c r="E7" s="5" t="n">
        <v>25</v>
      </c>
      <c r="F7" s="5" t="n">
        <v>5</v>
      </c>
      <c r="G7" s="5" t="n">
        <v>28</v>
      </c>
      <c r="H7" s="5" t="n">
        <v>22</v>
      </c>
      <c r="I7" s="5" t="n">
        <v>6</v>
      </c>
      <c r="J7" s="5" t="n">
        <v>3.5</v>
      </c>
      <c r="K7" s="5" t="n">
        <v>15</v>
      </c>
      <c r="L7" s="5" t="n">
        <v>3</v>
      </c>
      <c r="M7" s="5" t="n">
        <v>2.5</v>
      </c>
      <c r="N7" s="5" t="n">
        <v>1.5</v>
      </c>
      <c r="O7" s="5" t="n">
        <v>2.105</v>
      </c>
      <c r="P7" s="5" t="n">
        <v>4.033</v>
      </c>
      <c r="Q7" s="17" t="inlineStr">
        <is>
          <t>YF:0 FSC:2 EST:10</t>
        </is>
      </c>
    </row>
    <row r="8">
      <c r="A8" s="9" t="inlineStr">
        <is>
          <t>AMAT</t>
        </is>
      </c>
      <c r="B8" s="8" t="inlineStr">
        <is>
          <t>Al Madina Takaful</t>
        </is>
      </c>
      <c r="C8" s="8" t="inlineStr">
        <is>
          <t>Financial</t>
        </is>
      </c>
      <c r="D8" s="8" t="n">
        <v>30</v>
      </c>
      <c r="E8" s="8" t="n">
        <v>20</v>
      </c>
      <c r="F8" s="8" t="n">
        <v>4</v>
      </c>
      <c r="G8" s="8" t="n">
        <v>24</v>
      </c>
      <c r="H8" s="8" t="n">
        <v>18</v>
      </c>
      <c r="I8" s="8" t="n">
        <v>6</v>
      </c>
      <c r="J8" s="8" t="n">
        <v>2</v>
      </c>
      <c r="K8" s="8" t="n">
        <v>14</v>
      </c>
      <c r="L8" s="8" t="n">
        <v>2</v>
      </c>
      <c r="M8" s="8" t="n">
        <v>1.8</v>
      </c>
      <c r="N8" s="8" t="n">
        <v>1</v>
      </c>
      <c r="O8" s="8" t="n">
        <v>1.402</v>
      </c>
      <c r="P8" s="8" t="n">
        <v>1.277</v>
      </c>
      <c r="Q8" s="19" t="inlineStr">
        <is>
          <t>YF:0 FSC:2 EST:10</t>
        </is>
      </c>
    </row>
    <row r="9">
      <c r="A9" s="6" t="inlineStr">
        <is>
          <t>ORDS</t>
        </is>
      </c>
      <c r="B9" s="5" t="inlineStr">
        <is>
          <t>Ooredoo Oman</t>
        </is>
      </c>
      <c r="C9" s="5" t="inlineStr">
        <is>
          <t>Services</t>
        </is>
      </c>
      <c r="D9" s="5" t="n">
        <v>450</v>
      </c>
      <c r="E9" s="5" t="n">
        <v>350</v>
      </c>
      <c r="F9" s="5" t="n">
        <v>200</v>
      </c>
      <c r="G9" s="5" t="n">
        <v>80</v>
      </c>
      <c r="H9" s="5" t="n">
        <v>120</v>
      </c>
      <c r="I9" s="16" t="n">
        <v>-40</v>
      </c>
      <c r="J9" s="16" t="n">
        <v>-20</v>
      </c>
      <c r="K9" s="5" t="n">
        <v>300</v>
      </c>
      <c r="L9" s="5" t="n">
        <v>80</v>
      </c>
      <c r="M9" s="5" t="n">
        <v>70</v>
      </c>
      <c r="N9" s="5" t="n">
        <v>250</v>
      </c>
      <c r="O9" s="16" t="n">
        <v>-3.029</v>
      </c>
      <c r="P9" s="5" t="n">
        <v>10.692</v>
      </c>
      <c r="Q9" s="17" t="inlineStr">
        <is>
          <t>YF:0 FSC:2 EST:10</t>
        </is>
      </c>
    </row>
    <row r="10">
      <c r="A10" s="9" t="inlineStr">
        <is>
          <t>RCCI</t>
        </is>
      </c>
      <c r="B10" s="8" t="inlineStr">
        <is>
          <t>Raysut Cement</t>
        </is>
      </c>
      <c r="C10" s="8" t="inlineStr">
        <is>
          <t>Industrial</t>
        </is>
      </c>
      <c r="D10" s="8" t="n">
        <v>180</v>
      </c>
      <c r="E10" s="8" t="n">
        <v>140</v>
      </c>
      <c r="F10" s="8" t="n">
        <v>100</v>
      </c>
      <c r="G10" s="8" t="n">
        <v>30</v>
      </c>
      <c r="H10" s="8" t="n">
        <v>50</v>
      </c>
      <c r="I10" s="18" t="n">
        <v>-20</v>
      </c>
      <c r="J10" s="18" t="n">
        <v>-40</v>
      </c>
      <c r="K10" s="8" t="n">
        <v>60</v>
      </c>
      <c r="L10" s="8" t="n">
        <v>5</v>
      </c>
      <c r="M10" s="8" t="n">
        <v>8</v>
      </c>
      <c r="N10" s="8" t="n">
        <v>120</v>
      </c>
      <c r="O10" s="18" t="n">
        <v>-7.911</v>
      </c>
      <c r="P10" s="18" t="n">
        <v>-5.079</v>
      </c>
      <c r="Q10" s="19" t="inlineStr">
        <is>
          <t>YF:0 FSC:2 EST:10</t>
        </is>
      </c>
    </row>
    <row r="11">
      <c r="A11" s="6" t="inlineStr">
        <is>
          <t>UBAR</t>
        </is>
      </c>
      <c r="B11" s="5" t="inlineStr">
        <is>
          <t>Ubar Hotels and Resorts</t>
        </is>
      </c>
      <c r="C11" s="5" t="inlineStr">
        <is>
          <t>Services</t>
        </is>
      </c>
      <c r="D11" s="5" t="n">
        <v>12</v>
      </c>
      <c r="E11" s="5" t="n">
        <v>8</v>
      </c>
      <c r="F11" s="5" t="n">
        <v>5</v>
      </c>
      <c r="G11" s="5" t="n">
        <v>2</v>
      </c>
      <c r="H11" s="5" t="n">
        <v>4</v>
      </c>
      <c r="I11" s="16" t="n">
        <v>-2</v>
      </c>
      <c r="J11" s="16" t="n">
        <v>-5</v>
      </c>
      <c r="K11" s="5" t="n">
        <v>3</v>
      </c>
      <c r="L11" s="16" t="n">
        <v>-0.5</v>
      </c>
      <c r="M11" s="16" t="n">
        <v>-0.3</v>
      </c>
      <c r="N11" s="5" t="n">
        <v>8</v>
      </c>
      <c r="O11" s="16" t="n">
        <v>-1.114</v>
      </c>
      <c r="P11" s="16" t="n">
        <v>-0.867</v>
      </c>
      <c r="Q11" s="17" t="inlineStr">
        <is>
          <t>YF:0 FSC:2 EST:10</t>
        </is>
      </c>
    </row>
    <row r="12">
      <c r="A12" s="9" t="inlineStr">
        <is>
          <t>ORCI</t>
        </is>
      </c>
      <c r="B12" s="8" t="inlineStr">
        <is>
          <t>Oman Refreshment</t>
        </is>
      </c>
      <c r="C12" s="8" t="inlineStr">
        <is>
          <t>Industrial</t>
        </is>
      </c>
      <c r="D12" s="8" t="n">
        <v>45</v>
      </c>
      <c r="E12" s="8" t="n">
        <v>30</v>
      </c>
      <c r="F12" s="8" t="n">
        <v>15</v>
      </c>
      <c r="G12" s="8" t="n">
        <v>18</v>
      </c>
      <c r="H12" s="8" t="n">
        <v>20</v>
      </c>
      <c r="I12" s="18" t="n">
        <v>-2</v>
      </c>
      <c r="J12" s="18" t="n">
        <v>-5</v>
      </c>
      <c r="K12" s="8" t="n">
        <v>35</v>
      </c>
      <c r="L12" s="18" t="n">
        <v>-1.5</v>
      </c>
      <c r="M12" s="18" t="n">
        <v>-0.5</v>
      </c>
      <c r="N12" s="8" t="n">
        <v>20</v>
      </c>
      <c r="O12" s="18" t="n">
        <v>-3.589</v>
      </c>
      <c r="P12" s="8" t="n">
        <v>6.318</v>
      </c>
      <c r="Q12" s="19" t="inlineStr">
        <is>
          <t>YF:0 FSC:2 EST:10</t>
        </is>
      </c>
    </row>
    <row r="13">
      <c r="A13" s="6" t="inlineStr">
        <is>
          <t>NGCI</t>
        </is>
      </c>
      <c r="B13" s="5" t="inlineStr">
        <is>
          <t>National Gas</t>
        </is>
      </c>
      <c r="C13" s="5" t="inlineStr">
        <is>
          <t>Services</t>
        </is>
      </c>
      <c r="D13" s="5" t="n">
        <v>40</v>
      </c>
      <c r="E13" s="5" t="n">
        <v>30</v>
      </c>
      <c r="F13" s="5" t="n">
        <v>15</v>
      </c>
      <c r="G13" s="5" t="n">
        <v>12</v>
      </c>
      <c r="H13" s="5" t="n">
        <v>15</v>
      </c>
      <c r="I13" s="16" t="n">
        <v>-3</v>
      </c>
      <c r="J13" s="16" t="n">
        <v>-12</v>
      </c>
      <c r="K13" s="5" t="n">
        <v>25</v>
      </c>
      <c r="L13" s="16" t="n">
        <v>-5</v>
      </c>
      <c r="M13" s="16" t="n">
        <v>-3</v>
      </c>
      <c r="N13" s="5" t="n">
        <v>18</v>
      </c>
      <c r="O13" s="16" t="n">
        <v>-7.91</v>
      </c>
      <c r="P13" s="16" t="n">
        <v>-0.27</v>
      </c>
      <c r="Q13" s="17" t="inlineStr">
        <is>
          <t>YF:0 FSC:2 EST:10</t>
        </is>
      </c>
    </row>
    <row r="14">
      <c r="A14" s="9" t="inlineStr">
        <is>
          <t>NAPI</t>
        </is>
      </c>
      <c r="B14" s="8" t="inlineStr">
        <is>
          <t>National Aluminium Products</t>
        </is>
      </c>
      <c r="C14" s="8" t="inlineStr">
        <is>
          <t>Industrial</t>
        </is>
      </c>
      <c r="D14" s="8" t="n">
        <v>15</v>
      </c>
      <c r="E14" s="8" t="n">
        <v>12</v>
      </c>
      <c r="F14" s="8" t="n">
        <v>5</v>
      </c>
      <c r="G14" s="8" t="n">
        <v>7</v>
      </c>
      <c r="H14" s="8" t="n">
        <v>8</v>
      </c>
      <c r="I14" s="18" t="n">
        <v>-1</v>
      </c>
      <c r="J14" s="18" t="n">
        <v>-8</v>
      </c>
      <c r="K14" s="8" t="n">
        <v>10</v>
      </c>
      <c r="L14" s="18" t="n">
        <v>-0.5</v>
      </c>
      <c r="M14" s="8" t="n">
        <v>0.3</v>
      </c>
      <c r="N14" s="8" t="n">
        <v>5</v>
      </c>
      <c r="O14" s="18" t="n">
        <v>-1.438</v>
      </c>
      <c r="P14" s="18" t="n">
        <v>-3.715</v>
      </c>
      <c r="Q14" s="19" t="inlineStr">
        <is>
          <t>YF:0 FSC:2 EST:10</t>
        </is>
      </c>
    </row>
    <row r="15">
      <c r="A15" s="6" t="inlineStr">
        <is>
          <t>AFAI</t>
        </is>
      </c>
      <c r="B15" s="5" t="inlineStr">
        <is>
          <t>Al Fajar Al Alamia</t>
        </is>
      </c>
      <c r="C15" s="5" t="inlineStr">
        <is>
          <t>Industrial</t>
        </is>
      </c>
      <c r="D15" s="5" t="n">
        <v>20</v>
      </c>
      <c r="E15" s="5" t="n">
        <v>18</v>
      </c>
      <c r="F15" s="5" t="n">
        <v>8</v>
      </c>
      <c r="G15" s="5" t="n">
        <v>10</v>
      </c>
      <c r="H15" s="5" t="n">
        <v>14</v>
      </c>
      <c r="I15" s="16" t="n">
        <v>-4</v>
      </c>
      <c r="J15" s="16" t="n">
        <v>-12</v>
      </c>
      <c r="K15" s="5" t="n">
        <v>12</v>
      </c>
      <c r="L15" s="16" t="n">
        <v>-2.5</v>
      </c>
      <c r="M15" s="16" t="n">
        <v>-2</v>
      </c>
      <c r="N15" s="5" t="n">
        <v>5</v>
      </c>
      <c r="O15" s="16" t="n">
        <v>-3.612</v>
      </c>
      <c r="P15" s="16" t="n">
        <v>-6.084</v>
      </c>
      <c r="Q15" s="17" t="inlineStr">
        <is>
          <t>YF:0 FSC:2 EST:10</t>
        </is>
      </c>
    </row>
    <row r="16">
      <c r="A16" s="9" t="inlineStr">
        <is>
          <t>TAOI</t>
        </is>
      </c>
      <c r="B16" s="8" t="inlineStr">
        <is>
          <t>Takaful Oman</t>
        </is>
      </c>
      <c r="C16" s="8" t="inlineStr">
        <is>
          <t>Financial</t>
        </is>
      </c>
      <c r="D16" s="8" t="n">
        <v>25</v>
      </c>
      <c r="E16" s="8" t="n">
        <v>18</v>
      </c>
      <c r="F16" s="8" t="n">
        <v>3</v>
      </c>
      <c r="G16" s="8" t="n">
        <v>20</v>
      </c>
      <c r="H16" s="8" t="n">
        <v>16</v>
      </c>
      <c r="I16" s="8" t="n">
        <v>4</v>
      </c>
      <c r="J16" s="18" t="n">
        <v>-3.5</v>
      </c>
      <c r="K16" s="8" t="n">
        <v>12</v>
      </c>
      <c r="L16" s="18" t="n">
        <v>-0.8</v>
      </c>
      <c r="M16" s="18" t="n">
        <v>-0.5</v>
      </c>
      <c r="N16" s="8" t="n">
        <v>0.8</v>
      </c>
      <c r="O16" s="18" t="n">
        <v>-1.03</v>
      </c>
      <c r="P16" s="18" t="n">
        <v>-1.307</v>
      </c>
      <c r="Q16" s="19" t="inlineStr">
        <is>
          <t>YF:0 FSC:2 EST:10</t>
        </is>
      </c>
    </row>
    <row r="17">
      <c r="A17" s="6" t="inlineStr">
        <is>
          <t>AMCI</t>
        </is>
      </c>
      <c r="B17" s="5" t="inlineStr">
        <is>
          <t>Al Maha Ceramics</t>
        </is>
      </c>
      <c r="C17" s="5" t="inlineStr">
        <is>
          <t>Industrial</t>
        </is>
      </c>
      <c r="D17" s="5" t="n">
        <v>7.35</v>
      </c>
      <c r="E17" s="5" t="n">
        <v>9.680999999999999</v>
      </c>
      <c r="F17" s="5" t="n">
        <v>0.828</v>
      </c>
      <c r="G17" s="5" t="n">
        <v>7.223</v>
      </c>
      <c r="H17" s="5" t="n">
        <v>9.667</v>
      </c>
      <c r="I17" s="16" t="n">
        <v>-2.444</v>
      </c>
      <c r="J17" s="16" t="n">
        <v>-2.471</v>
      </c>
      <c r="K17" s="5" t="n">
        <v>10.201</v>
      </c>
      <c r="L17" s="16" t="n">
        <v>-0.742</v>
      </c>
      <c r="M17" s="5" t="n">
        <v>0.5679999999999999</v>
      </c>
      <c r="N17" s="5" t="n">
        <v>0.1</v>
      </c>
      <c r="O17" s="16" t="n">
        <v>-1.571</v>
      </c>
      <c r="P17" s="16" t="n">
        <v>-1.121</v>
      </c>
      <c r="Q17" s="17" t="inlineStr">
        <is>
          <t>YF:10 FSC:2 EST:0</t>
        </is>
      </c>
    </row>
    <row r="20">
      <c r="A20" s="2" t="inlineStr">
        <is>
          <t>RVS VARIABLE CALCULATIONS</t>
        </is>
      </c>
    </row>
    <row r="21">
      <c r="A21" s="4" t="inlineStr">
        <is>
          <t>Ticker</t>
        </is>
      </c>
      <c r="B21" s="4" t="inlineStr">
        <is>
          <t>Company</t>
        </is>
      </c>
      <c r="C21" s="4" t="inlineStr">
        <is>
          <t>V1 (WC/TA)</t>
        </is>
      </c>
      <c r="D21" s="4" t="inlineStr">
        <is>
          <t>V2 (RE/TA)</t>
        </is>
      </c>
      <c r="E21" s="4" t="inlineStr">
        <is>
          <t>V3 (EBITDA/TD)</t>
        </is>
      </c>
      <c r="F21" s="4" t="inlineStr">
        <is>
          <t>V4 (OCF/TD)</t>
        </is>
      </c>
      <c r="G21" s="4" t="inlineStr">
        <is>
          <t>V5 (PPE/TL)</t>
        </is>
      </c>
      <c r="H21" s="4" t="inlineStr">
        <is>
          <t>V6 (Rev/TA)</t>
        </is>
      </c>
    </row>
    <row r="22">
      <c r="A22" s="6" t="inlineStr">
        <is>
          <t>SUWP</t>
        </is>
      </c>
      <c r="B22" s="5" t="inlineStr">
        <is>
          <t>Al Suwadi Power</t>
        </is>
      </c>
      <c r="C22" s="20" t="n">
        <v>-0.0286</v>
      </c>
      <c r="D22" s="21" t="n">
        <v>0.0571</v>
      </c>
      <c r="E22" s="21" t="n">
        <v>0.1739</v>
      </c>
      <c r="F22" s="21" t="n">
        <v>0.1522</v>
      </c>
      <c r="G22" s="21" t="n">
        <v>1</v>
      </c>
      <c r="H22" s="21" t="n">
        <v>0.1714</v>
      </c>
    </row>
    <row r="23">
      <c r="A23" s="6" t="inlineStr">
        <is>
          <t>BATP</t>
        </is>
      </c>
      <c r="B23" s="5" t="inlineStr">
        <is>
          <t>Al Batinah Power</t>
        </is>
      </c>
      <c r="C23" s="20" t="n">
        <v>-0.0312</v>
      </c>
      <c r="D23" s="21" t="n">
        <v>0.0469</v>
      </c>
      <c r="E23" s="21" t="n">
        <v>0.181</v>
      </c>
      <c r="F23" s="21" t="n">
        <v>0.1571</v>
      </c>
      <c r="G23" s="21" t="n">
        <v>1</v>
      </c>
      <c r="H23" s="21" t="n">
        <v>0.1719</v>
      </c>
    </row>
    <row r="24">
      <c r="A24" s="6" t="inlineStr">
        <is>
          <t>AFIC</t>
        </is>
      </c>
      <c r="B24" s="5" t="inlineStr">
        <is>
          <t>Arabia Falcon Insurance</t>
        </is>
      </c>
      <c r="C24" s="21" t="n">
        <v>0.1714</v>
      </c>
      <c r="D24" s="21" t="n">
        <v>0.1</v>
      </c>
      <c r="E24" s="21" t="n">
        <v>0.6</v>
      </c>
      <c r="F24" s="21" t="n">
        <v>0.5</v>
      </c>
      <c r="G24" s="21" t="n">
        <v>0.06</v>
      </c>
      <c r="H24" s="21" t="n">
        <v>0.4286</v>
      </c>
    </row>
    <row r="25">
      <c r="A25" s="6" t="inlineStr">
        <is>
          <t>AMAT</t>
        </is>
      </c>
      <c r="B25" s="5" t="inlineStr">
        <is>
          <t>Al Madina Takaful</t>
        </is>
      </c>
      <c r="C25" s="21" t="n">
        <v>0.2</v>
      </c>
      <c r="D25" s="21" t="n">
        <v>0.0667</v>
      </c>
      <c r="E25" s="21" t="n">
        <v>0.5</v>
      </c>
      <c r="F25" s="21" t="n">
        <v>0.45</v>
      </c>
      <c r="G25" s="21" t="n">
        <v>0.05</v>
      </c>
      <c r="H25" s="21" t="n">
        <v>0.4667</v>
      </c>
    </row>
    <row r="26">
      <c r="A26" s="6" t="inlineStr">
        <is>
          <t>ORDS</t>
        </is>
      </c>
      <c r="B26" s="5" t="inlineStr">
        <is>
          <t>Ooredoo Oman</t>
        </is>
      </c>
      <c r="C26" s="20" t="n">
        <v>-0.08890000000000001</v>
      </c>
      <c r="D26" s="20" t="n">
        <v>-0.0444</v>
      </c>
      <c r="E26" s="21" t="n">
        <v>0.4</v>
      </c>
      <c r="F26" s="21" t="n">
        <v>0.35</v>
      </c>
      <c r="G26" s="21" t="n">
        <v>0.7143</v>
      </c>
      <c r="H26" s="21" t="n">
        <v>0.6667</v>
      </c>
    </row>
    <row r="27">
      <c r="A27" s="6" t="inlineStr">
        <is>
          <t>RCCI</t>
        </is>
      </c>
      <c r="B27" s="5" t="inlineStr">
        <is>
          <t>Raysut Cement</t>
        </is>
      </c>
      <c r="C27" s="20" t="n">
        <v>-0.1111</v>
      </c>
      <c r="D27" s="20" t="n">
        <v>-0.2222</v>
      </c>
      <c r="E27" s="21" t="n">
        <v>0.05</v>
      </c>
      <c r="F27" s="21" t="n">
        <v>0.08</v>
      </c>
      <c r="G27" s="21" t="n">
        <v>0.8571</v>
      </c>
      <c r="H27" s="21" t="n">
        <v>0.3333</v>
      </c>
    </row>
    <row r="28">
      <c r="A28" s="6" t="inlineStr">
        <is>
          <t>UBAR</t>
        </is>
      </c>
      <c r="B28" s="5" t="inlineStr">
        <is>
          <t>Ubar Hotels and Resorts</t>
        </is>
      </c>
      <c r="C28" s="20" t="n">
        <v>-0.1667</v>
      </c>
      <c r="D28" s="20" t="n">
        <v>-0.4167</v>
      </c>
      <c r="E28" s="20" t="n">
        <v>-0.1</v>
      </c>
      <c r="F28" s="20" t="n">
        <v>-0.06</v>
      </c>
      <c r="G28" s="21" t="n">
        <v>1</v>
      </c>
      <c r="H28" s="21" t="n">
        <v>0.25</v>
      </c>
    </row>
    <row r="29">
      <c r="A29" s="6" t="inlineStr">
        <is>
          <t>ORCI</t>
        </is>
      </c>
      <c r="B29" s="5" t="inlineStr">
        <is>
          <t>Oman Refreshment</t>
        </is>
      </c>
      <c r="C29" s="20" t="n">
        <v>-0.0444</v>
      </c>
      <c r="D29" s="20" t="n">
        <v>-0.1111</v>
      </c>
      <c r="E29" s="20" t="n">
        <v>-0.1</v>
      </c>
      <c r="F29" s="20" t="n">
        <v>-0.0333</v>
      </c>
      <c r="G29" s="21" t="n">
        <v>0.6667</v>
      </c>
      <c r="H29" s="21" t="n">
        <v>0.7778</v>
      </c>
    </row>
    <row r="30">
      <c r="A30" s="6" t="inlineStr">
        <is>
          <t>NGCI</t>
        </is>
      </c>
      <c r="B30" s="5" t="inlineStr">
        <is>
          <t>National Gas</t>
        </is>
      </c>
      <c r="C30" s="20" t="n">
        <v>-0.075</v>
      </c>
      <c r="D30" s="20" t="n">
        <v>-0.3</v>
      </c>
      <c r="E30" s="20" t="n">
        <v>-0.3333</v>
      </c>
      <c r="F30" s="20" t="n">
        <v>-0.2</v>
      </c>
      <c r="G30" s="21" t="n">
        <v>0.6</v>
      </c>
      <c r="H30" s="21" t="n">
        <v>0.625</v>
      </c>
    </row>
    <row r="31">
      <c r="A31" s="6" t="inlineStr">
        <is>
          <t>NAPI</t>
        </is>
      </c>
      <c r="B31" s="5" t="inlineStr">
        <is>
          <t>National Aluminium Products</t>
        </is>
      </c>
      <c r="C31" s="20" t="n">
        <v>-0.0667</v>
      </c>
      <c r="D31" s="20" t="n">
        <v>-0.5333</v>
      </c>
      <c r="E31" s="20" t="n">
        <v>-0.1</v>
      </c>
      <c r="F31" s="21" t="n">
        <v>0.06</v>
      </c>
      <c r="G31" s="21" t="n">
        <v>0.4167</v>
      </c>
      <c r="H31" s="21" t="n">
        <v>0.6667</v>
      </c>
    </row>
    <row r="32">
      <c r="A32" s="6" t="inlineStr">
        <is>
          <t>AFAI</t>
        </is>
      </c>
      <c r="B32" s="5" t="inlineStr">
        <is>
          <t>Al Fajar Al Alamia</t>
        </is>
      </c>
      <c r="C32" s="20" t="n">
        <v>-0.2</v>
      </c>
      <c r="D32" s="20" t="n">
        <v>-0.6</v>
      </c>
      <c r="E32" s="20" t="n">
        <v>-0.3125</v>
      </c>
      <c r="F32" s="20" t="n">
        <v>-0.25</v>
      </c>
      <c r="G32" s="21" t="n">
        <v>0.2778</v>
      </c>
      <c r="H32" s="21" t="n">
        <v>0.6</v>
      </c>
    </row>
    <row r="33">
      <c r="A33" s="6" t="inlineStr">
        <is>
          <t>TAOI</t>
        </is>
      </c>
      <c r="B33" s="5" t="inlineStr">
        <is>
          <t>Takaful Oman</t>
        </is>
      </c>
      <c r="C33" s="21" t="n">
        <v>0.16</v>
      </c>
      <c r="D33" s="20" t="n">
        <v>-0.14</v>
      </c>
      <c r="E33" s="20" t="n">
        <v>-0.2667</v>
      </c>
      <c r="F33" s="20" t="n">
        <v>-0.1667</v>
      </c>
      <c r="G33" s="21" t="n">
        <v>0.0444</v>
      </c>
      <c r="H33" s="21" t="n">
        <v>0.48</v>
      </c>
    </row>
    <row r="34">
      <c r="A34" s="6" t="inlineStr">
        <is>
          <t>AMCI</t>
        </is>
      </c>
      <c r="B34" s="5" t="inlineStr">
        <is>
          <t>Al Maha Ceramics</t>
        </is>
      </c>
      <c r="C34" s="20" t="n">
        <v>-0.3325</v>
      </c>
      <c r="D34" s="20" t="n">
        <v>-0.3362</v>
      </c>
      <c r="E34" s="20" t="n">
        <v>-0.8961</v>
      </c>
      <c r="F34" s="21" t="n">
        <v>0.6860000000000001</v>
      </c>
      <c r="G34" s="21" t="n">
        <v>0.0103</v>
      </c>
      <c r="H34" s="21" t="n">
        <v>1.3879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RVS v3.0 Scorecard — Variable Contribution Breakdown</t>
        </is>
      </c>
    </row>
    <row r="2">
      <c r="A2" s="22" t="inlineStr">
        <is>
          <t>Z = 2.5445 + 0.2506×V1 + 1.7070×V2 + 0.7426×V3 + 0.7262×V4 + 0.8278×V5 - 1.8122×V6</t>
        </is>
      </c>
    </row>
    <row r="4">
      <c r="A4" s="4" t="inlineStr">
        <is>
          <t>Ticker</t>
        </is>
      </c>
      <c r="B4" s="4" t="inlineStr">
        <is>
          <t>Company</t>
        </is>
      </c>
      <c r="C4" s="4" t="inlineStr">
        <is>
          <t>Intercept</t>
        </is>
      </c>
      <c r="D4" s="4" t="inlineStr">
        <is>
          <t>0.2506×V1</t>
        </is>
      </c>
      <c r="E4" s="4" t="inlineStr">
        <is>
          <t>1.7070×V2</t>
        </is>
      </c>
      <c r="F4" s="4" t="inlineStr">
        <is>
          <t>0.7426×V3</t>
        </is>
      </c>
      <c r="G4" s="4" t="inlineStr">
        <is>
          <t>0.7262×V4</t>
        </is>
      </c>
      <c r="H4" s="4" t="inlineStr">
        <is>
          <t>0.8278×V5</t>
        </is>
      </c>
      <c r="I4" s="4" t="inlineStr">
        <is>
          <t>-1.8122×V6</t>
        </is>
      </c>
      <c r="J4" s="4" t="inlineStr">
        <is>
          <t>Z Score</t>
        </is>
      </c>
      <c r="K4" s="4" t="inlineStr">
        <is>
          <t>P(Recovery)</t>
        </is>
      </c>
      <c r="L4" s="4" t="inlineStr">
        <is>
          <t>Verdict</t>
        </is>
      </c>
    </row>
    <row r="5">
      <c r="A5" s="6" t="inlineStr">
        <is>
          <t>SUWP</t>
        </is>
      </c>
      <c r="B5" s="5" t="inlineStr">
        <is>
          <t>Al Suwadi Power</t>
        </is>
      </c>
      <c r="C5" s="5" t="n">
        <v>2.5445</v>
      </c>
      <c r="D5" s="20" t="n">
        <v>-0.0072</v>
      </c>
      <c r="E5" s="21" t="n">
        <v>0.0975</v>
      </c>
      <c r="F5" s="21" t="n">
        <v>0.1291</v>
      </c>
      <c r="G5" s="21" t="n">
        <v>0.1105</v>
      </c>
      <c r="H5" s="21" t="n">
        <v>0.8278</v>
      </c>
      <c r="I5" s="20" t="n">
        <v>-0.3107</v>
      </c>
      <c r="J5" s="6" t="n">
        <v>3.3917</v>
      </c>
      <c r="K5" s="5" t="n">
        <v>0.9674</v>
      </c>
      <c r="L5" s="7" t="inlineStr">
        <is>
          <t>GO</t>
        </is>
      </c>
    </row>
    <row r="6">
      <c r="A6" s="9" t="inlineStr">
        <is>
          <t>BATP</t>
        </is>
      </c>
      <c r="B6" s="8" t="inlineStr">
        <is>
          <t>Al Batinah Power</t>
        </is>
      </c>
      <c r="C6" s="8" t="n">
        <v>2.5445</v>
      </c>
      <c r="D6" s="23" t="n">
        <v>-0.0078</v>
      </c>
      <c r="E6" s="24" t="n">
        <v>0.08</v>
      </c>
      <c r="F6" s="24" t="n">
        <v>0.1344</v>
      </c>
      <c r="G6" s="24" t="n">
        <v>0.1141</v>
      </c>
      <c r="H6" s="24" t="n">
        <v>0.8278</v>
      </c>
      <c r="I6" s="23" t="n">
        <v>-0.3115</v>
      </c>
      <c r="J6" s="9" t="n">
        <v>3.3815</v>
      </c>
      <c r="K6" s="8" t="n">
        <v>0.9671</v>
      </c>
      <c r="L6" s="7" t="inlineStr">
        <is>
          <t>GO</t>
        </is>
      </c>
    </row>
    <row r="7">
      <c r="A7" s="6" t="inlineStr">
        <is>
          <t>AFIC</t>
        </is>
      </c>
      <c r="B7" s="5" t="inlineStr">
        <is>
          <t>Arabia Falcon Insurance</t>
        </is>
      </c>
      <c r="C7" s="5" t="n">
        <v>2.5445</v>
      </c>
      <c r="D7" s="21" t="n">
        <v>0.043</v>
      </c>
      <c r="E7" s="21" t="n">
        <v>0.1707</v>
      </c>
      <c r="F7" s="21" t="n">
        <v>0.4456</v>
      </c>
      <c r="G7" s="21" t="n">
        <v>0.3631</v>
      </c>
      <c r="H7" s="21" t="n">
        <v>0.0497</v>
      </c>
      <c r="I7" s="20" t="n">
        <v>-0.7766999999999999</v>
      </c>
      <c r="J7" s="6" t="n">
        <v>2.8398</v>
      </c>
      <c r="K7" s="5" t="n">
        <v>0.9448</v>
      </c>
      <c r="L7" s="7" t="inlineStr">
        <is>
          <t>GO</t>
        </is>
      </c>
    </row>
    <row r="8">
      <c r="A8" s="9" t="inlineStr">
        <is>
          <t>AMAT</t>
        </is>
      </c>
      <c r="B8" s="8" t="inlineStr">
        <is>
          <t>Al Madina Takaful</t>
        </is>
      </c>
      <c r="C8" s="8" t="n">
        <v>2.5445</v>
      </c>
      <c r="D8" s="24" t="n">
        <v>0.0501</v>
      </c>
      <c r="E8" s="24" t="n">
        <v>0.1138</v>
      </c>
      <c r="F8" s="24" t="n">
        <v>0.3713</v>
      </c>
      <c r="G8" s="24" t="n">
        <v>0.3268</v>
      </c>
      <c r="H8" s="24" t="n">
        <v>0.0414</v>
      </c>
      <c r="I8" s="23" t="n">
        <v>-0.8457</v>
      </c>
      <c r="J8" s="9" t="n">
        <v>2.6022</v>
      </c>
      <c r="K8" s="8" t="n">
        <v>0.931</v>
      </c>
      <c r="L8" s="7" t="inlineStr">
        <is>
          <t>GO</t>
        </is>
      </c>
    </row>
    <row r="9">
      <c r="A9" s="6" t="inlineStr">
        <is>
          <t>ORDS</t>
        </is>
      </c>
      <c r="B9" s="5" t="inlineStr">
        <is>
          <t>Ooredoo Oman</t>
        </is>
      </c>
      <c r="C9" s="5" t="n">
        <v>2.5445</v>
      </c>
      <c r="D9" s="20" t="n">
        <v>-0.0223</v>
      </c>
      <c r="E9" s="20" t="n">
        <v>-0.0759</v>
      </c>
      <c r="F9" s="21" t="n">
        <v>0.297</v>
      </c>
      <c r="G9" s="21" t="n">
        <v>0.2542</v>
      </c>
      <c r="H9" s="21" t="n">
        <v>0.5913</v>
      </c>
      <c r="I9" s="20" t="n">
        <v>-1.2081</v>
      </c>
      <c r="J9" s="6" t="n">
        <v>2.3807</v>
      </c>
      <c r="K9" s="5" t="n">
        <v>0.9153</v>
      </c>
      <c r="L9" s="7" t="inlineStr">
        <is>
          <t>GO</t>
        </is>
      </c>
    </row>
    <row r="10">
      <c r="A10" s="9" t="inlineStr">
        <is>
          <t>RCCI</t>
        </is>
      </c>
      <c r="B10" s="8" t="inlineStr">
        <is>
          <t>Raysut Cement</t>
        </is>
      </c>
      <c r="C10" s="8" t="n">
        <v>2.5445</v>
      </c>
      <c r="D10" s="23" t="n">
        <v>-0.0278</v>
      </c>
      <c r="E10" s="23" t="n">
        <v>-0.3793</v>
      </c>
      <c r="F10" s="24" t="n">
        <v>0.0371</v>
      </c>
      <c r="G10" s="24" t="n">
        <v>0.0581</v>
      </c>
      <c r="H10" s="24" t="n">
        <v>0.7095</v>
      </c>
      <c r="I10" s="23" t="n">
        <v>-0.6041</v>
      </c>
      <c r="J10" s="9" t="n">
        <v>2.338</v>
      </c>
      <c r="K10" s="8" t="n">
        <v>0.912</v>
      </c>
      <c r="L10" s="7" t="inlineStr">
        <is>
          <t>GO</t>
        </is>
      </c>
    </row>
    <row r="11">
      <c r="A11" s="6" t="inlineStr">
        <is>
          <t>UBAR</t>
        </is>
      </c>
      <c r="B11" s="5" t="inlineStr">
        <is>
          <t>Ubar Hotels and Resorts</t>
        </is>
      </c>
      <c r="C11" s="5" t="n">
        <v>2.5445</v>
      </c>
      <c r="D11" s="20" t="n">
        <v>-0.0418</v>
      </c>
      <c r="E11" s="20" t="n">
        <v>-0.7113</v>
      </c>
      <c r="F11" s="20" t="n">
        <v>-0.0743</v>
      </c>
      <c r="G11" s="20" t="n">
        <v>-0.0436</v>
      </c>
      <c r="H11" s="21" t="n">
        <v>0.8278</v>
      </c>
      <c r="I11" s="20" t="n">
        <v>-0.4531</v>
      </c>
      <c r="J11" s="6" t="n">
        <v>2.0484</v>
      </c>
      <c r="K11" s="5" t="n">
        <v>0.8858</v>
      </c>
      <c r="L11" s="7" t="inlineStr">
        <is>
          <t>GO</t>
        </is>
      </c>
    </row>
    <row r="12">
      <c r="A12" s="9" t="inlineStr">
        <is>
          <t>ORCI</t>
        </is>
      </c>
      <c r="B12" s="8" t="inlineStr">
        <is>
          <t>Oman Refreshment</t>
        </is>
      </c>
      <c r="C12" s="8" t="n">
        <v>2.5445</v>
      </c>
      <c r="D12" s="23" t="n">
        <v>-0.0111</v>
      </c>
      <c r="E12" s="23" t="n">
        <v>-0.1897</v>
      </c>
      <c r="F12" s="23" t="n">
        <v>-0.0743</v>
      </c>
      <c r="G12" s="23" t="n">
        <v>-0.0242</v>
      </c>
      <c r="H12" s="24" t="n">
        <v>0.5518999999999999</v>
      </c>
      <c r="I12" s="23" t="n">
        <v>-1.4095</v>
      </c>
      <c r="J12" s="9" t="n">
        <v>1.3876</v>
      </c>
      <c r="K12" s="8" t="n">
        <v>0.8002</v>
      </c>
      <c r="L12" s="7" t="inlineStr">
        <is>
          <t>GO</t>
        </is>
      </c>
    </row>
    <row r="13">
      <c r="A13" s="6" t="inlineStr">
        <is>
          <t>NGCI</t>
        </is>
      </c>
      <c r="B13" s="5" t="inlineStr">
        <is>
          <t>National Gas</t>
        </is>
      </c>
      <c r="C13" s="5" t="n">
        <v>2.5445</v>
      </c>
      <c r="D13" s="20" t="n">
        <v>-0.0188</v>
      </c>
      <c r="E13" s="20" t="n">
        <v>-0.5121</v>
      </c>
      <c r="F13" s="20" t="n">
        <v>-0.2475</v>
      </c>
      <c r="G13" s="20" t="n">
        <v>-0.1452</v>
      </c>
      <c r="H13" s="21" t="n">
        <v>0.4967</v>
      </c>
      <c r="I13" s="20" t="n">
        <v>-1.1326</v>
      </c>
      <c r="J13" s="6" t="n">
        <v>0.9849</v>
      </c>
      <c r="K13" s="5" t="n">
        <v>0.7281</v>
      </c>
      <c r="L13" s="7" t="inlineStr">
        <is>
          <t>GO</t>
        </is>
      </c>
    </row>
    <row r="14">
      <c r="A14" s="9" t="inlineStr">
        <is>
          <t>NAPI</t>
        </is>
      </c>
      <c r="B14" s="8" t="inlineStr">
        <is>
          <t>National Aluminium Products</t>
        </is>
      </c>
      <c r="C14" s="8" t="n">
        <v>2.5445</v>
      </c>
      <c r="D14" s="23" t="n">
        <v>-0.0167</v>
      </c>
      <c r="E14" s="23" t="n">
        <v>-0.9104</v>
      </c>
      <c r="F14" s="23" t="n">
        <v>-0.0743</v>
      </c>
      <c r="G14" s="24" t="n">
        <v>0.0436</v>
      </c>
      <c r="H14" s="24" t="n">
        <v>0.3449</v>
      </c>
      <c r="I14" s="23" t="n">
        <v>-1.2081</v>
      </c>
      <c r="J14" s="9" t="n">
        <v>0.7235</v>
      </c>
      <c r="K14" s="8" t="n">
        <v>0.6734</v>
      </c>
      <c r="L14" s="7" t="inlineStr">
        <is>
          <t>GO</t>
        </is>
      </c>
    </row>
    <row r="15">
      <c r="A15" s="6" t="inlineStr">
        <is>
          <t>AFAI</t>
        </is>
      </c>
      <c r="B15" s="5" t="inlineStr">
        <is>
          <t>Al Fajar Al Alamia</t>
        </is>
      </c>
      <c r="C15" s="5" t="n">
        <v>2.5445</v>
      </c>
      <c r="D15" s="20" t="n">
        <v>-0.0501</v>
      </c>
      <c r="E15" s="20" t="n">
        <v>-1.0242</v>
      </c>
      <c r="F15" s="20" t="n">
        <v>-0.2321</v>
      </c>
      <c r="G15" s="20" t="n">
        <v>-0.1815</v>
      </c>
      <c r="H15" s="21" t="n">
        <v>0.2299</v>
      </c>
      <c r="I15" s="20" t="n">
        <v>-1.0873</v>
      </c>
      <c r="J15" s="6" t="n">
        <v>0.1992</v>
      </c>
      <c r="K15" s="5" t="n">
        <v>0.5496</v>
      </c>
      <c r="L15" s="10" t="inlineStr">
        <is>
          <t>CONDITIONAL</t>
        </is>
      </c>
    </row>
    <row r="16">
      <c r="A16" s="9" t="inlineStr">
        <is>
          <t>TAOI</t>
        </is>
      </c>
      <c r="B16" s="8" t="inlineStr">
        <is>
          <t>Takaful Oman</t>
        </is>
      </c>
      <c r="C16" s="8" t="n">
        <v>2.5445</v>
      </c>
      <c r="D16" s="24" t="n">
        <v>0.0401</v>
      </c>
      <c r="E16" s="23" t="n">
        <v>-0.239</v>
      </c>
      <c r="F16" s="23" t="n">
        <v>-0.198</v>
      </c>
      <c r="G16" s="23" t="n">
        <v>-0.121</v>
      </c>
      <c r="H16" s="24" t="n">
        <v>0.0368</v>
      </c>
      <c r="I16" s="23" t="n">
        <v>-0.8699</v>
      </c>
      <c r="J16" s="9" t="n">
        <v>1.1935</v>
      </c>
      <c r="K16" s="8" t="n">
        <v>0.7674</v>
      </c>
      <c r="L16" s="7" t="inlineStr">
        <is>
          <t>GO</t>
        </is>
      </c>
    </row>
    <row r="17">
      <c r="A17" s="6" t="inlineStr">
        <is>
          <t>AMCI</t>
        </is>
      </c>
      <c r="B17" s="5" t="inlineStr">
        <is>
          <t>Al Maha Ceramics</t>
        </is>
      </c>
      <c r="C17" s="5" t="n">
        <v>2.5445</v>
      </c>
      <c r="D17" s="20" t="n">
        <v>-0.0833</v>
      </c>
      <c r="E17" s="20" t="n">
        <v>-0.5739</v>
      </c>
      <c r="F17" s="20" t="n">
        <v>-0.6655</v>
      </c>
      <c r="G17" s="21" t="n">
        <v>0.4982</v>
      </c>
      <c r="H17" s="21" t="n">
        <v>0.0086</v>
      </c>
      <c r="I17" s="20" t="n">
        <v>-2.5151</v>
      </c>
      <c r="J17" s="6" t="n">
        <v>-0.7866</v>
      </c>
      <c r="K17" s="5" t="n">
        <v>0.3129</v>
      </c>
      <c r="L17" s="11" t="inlineStr">
        <is>
          <t>NO-GO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Discrete-Time Hazard Layer — 5-Year Survival Analysis</t>
        </is>
      </c>
    </row>
    <row r="2">
      <c r="A2" s="22" t="inlineStr">
        <is>
          <t>Shumway (2001) hazard model | Conservative decay: 1.0 - 0.02×(t-1) | COVID_Shock = 0</t>
        </is>
      </c>
    </row>
    <row r="4">
      <c r="A4" s="4" t="inlineStr">
        <is>
          <t>Ticker</t>
        </is>
      </c>
      <c r="B4" s="4" t="inlineStr">
        <is>
          <t>Company</t>
        </is>
      </c>
      <c r="C4" s="4" t="inlineStr">
        <is>
          <t>h(1)</t>
        </is>
      </c>
      <c r="D4" s="4" t="inlineStr">
        <is>
          <t>h(2)</t>
        </is>
      </c>
      <c r="E4" s="4" t="inlineStr">
        <is>
          <t>h(3)</t>
        </is>
      </c>
      <c r="F4" s="4" t="inlineStr">
        <is>
          <t>h(4)</t>
        </is>
      </c>
      <c r="G4" s="4" t="inlineStr">
        <is>
          <t>h(5)</t>
        </is>
      </c>
      <c r="H4" s="4" t="inlineStr">
        <is>
          <t>S(1)</t>
        </is>
      </c>
      <c r="I4" s="4" t="inlineStr">
        <is>
          <t>S(2)</t>
        </is>
      </c>
      <c r="J4" s="4" t="inlineStr">
        <is>
          <t>S(3)</t>
        </is>
      </c>
      <c r="K4" s="4" t="inlineStr">
        <is>
          <t>S(4)</t>
        </is>
      </c>
      <c r="L4" s="4" t="inlineStr">
        <is>
          <t>S(5)</t>
        </is>
      </c>
      <c r="M4" s="4" t="inlineStr">
        <is>
          <t>5yr Survival</t>
        </is>
      </c>
    </row>
    <row r="5">
      <c r="A5" s="6" t="inlineStr">
        <is>
          <t>SUWP</t>
        </is>
      </c>
      <c r="B5" s="5" t="inlineStr">
        <is>
          <t>Al Suwadi Power</t>
        </is>
      </c>
      <c r="C5" s="25" t="n">
        <v>0.001</v>
      </c>
      <c r="D5" s="25" t="n">
        <v>0.001</v>
      </c>
      <c r="E5" s="25" t="n">
        <v>0.001</v>
      </c>
      <c r="F5" s="25" t="n">
        <v>0.001</v>
      </c>
      <c r="G5" s="25" t="n">
        <v>0.001</v>
      </c>
      <c r="H5" s="25" t="n">
        <v>0.999</v>
      </c>
      <c r="I5" s="25" t="n">
        <v>0.998001</v>
      </c>
      <c r="J5" s="25" t="n">
        <v>0.997003</v>
      </c>
      <c r="K5" s="25" t="n">
        <v>0.9960059999999999</v>
      </c>
      <c r="L5" s="25" t="n">
        <v>0.99501</v>
      </c>
      <c r="M5" s="26" t="n">
        <v>0.995</v>
      </c>
    </row>
    <row r="6">
      <c r="A6" s="9" t="inlineStr">
        <is>
          <t>BATP</t>
        </is>
      </c>
      <c r="B6" s="8" t="inlineStr">
        <is>
          <t>Al Batinah Power</t>
        </is>
      </c>
      <c r="C6" s="27" t="n">
        <v>0.001</v>
      </c>
      <c r="D6" s="27" t="n">
        <v>0.001</v>
      </c>
      <c r="E6" s="27" t="n">
        <v>0.001</v>
      </c>
      <c r="F6" s="27" t="n">
        <v>0.001</v>
      </c>
      <c r="G6" s="27" t="n">
        <v>0.001</v>
      </c>
      <c r="H6" s="27" t="n">
        <v>0.999</v>
      </c>
      <c r="I6" s="27" t="n">
        <v>0.998001</v>
      </c>
      <c r="J6" s="27" t="n">
        <v>0.997003</v>
      </c>
      <c r="K6" s="27" t="n">
        <v>0.9960059999999999</v>
      </c>
      <c r="L6" s="27" t="n">
        <v>0.99501</v>
      </c>
      <c r="M6" s="28" t="n">
        <v>0.995</v>
      </c>
    </row>
    <row r="7">
      <c r="A7" s="6" t="inlineStr">
        <is>
          <t>AFIC</t>
        </is>
      </c>
      <c r="B7" s="5" t="inlineStr">
        <is>
          <t>Arabia Falcon Insurance</t>
        </is>
      </c>
      <c r="C7" s="25" t="n">
        <v>0.002592</v>
      </c>
      <c r="D7" s="25" t="n">
        <v>0.001142</v>
      </c>
      <c r="E7" s="25" t="n">
        <v>0.001</v>
      </c>
      <c r="F7" s="25" t="n">
        <v>0.001</v>
      </c>
      <c r="G7" s="25" t="n">
        <v>0.001</v>
      </c>
      <c r="H7" s="25" t="n">
        <v>0.997408</v>
      </c>
      <c r="I7" s="25" t="n">
        <v>0.99627</v>
      </c>
      <c r="J7" s="25" t="n">
        <v>0.995273</v>
      </c>
      <c r="K7" s="25" t="n">
        <v>0.994278</v>
      </c>
      <c r="L7" s="25" t="n">
        <v>0.9932839999999999</v>
      </c>
      <c r="M7" s="26" t="n">
        <v>0.9933</v>
      </c>
    </row>
    <row r="8">
      <c r="A8" s="9" t="inlineStr">
        <is>
          <t>AMAT</t>
        </is>
      </c>
      <c r="B8" s="8" t="inlineStr">
        <is>
          <t>Al Madina Takaful</t>
        </is>
      </c>
      <c r="C8" s="27" t="n">
        <v>0.005151</v>
      </c>
      <c r="D8" s="27" t="n">
        <v>0.002242</v>
      </c>
      <c r="E8" s="27" t="n">
        <v>0.001</v>
      </c>
      <c r="F8" s="27" t="n">
        <v>0.001</v>
      </c>
      <c r="G8" s="27" t="n">
        <v>0.001</v>
      </c>
      <c r="H8" s="27" t="n">
        <v>0.994849</v>
      </c>
      <c r="I8" s="27" t="n">
        <v>0.992618</v>
      </c>
      <c r="J8" s="27" t="n">
        <v>0.991626</v>
      </c>
      <c r="K8" s="27" t="n">
        <v>0.990634</v>
      </c>
      <c r="L8" s="27" t="n">
        <v>0.989644</v>
      </c>
      <c r="M8" s="28" t="n">
        <v>0.9896</v>
      </c>
    </row>
    <row r="9">
      <c r="A9" s="6" t="inlineStr">
        <is>
          <t>ORDS</t>
        </is>
      </c>
      <c r="B9" s="5" t="inlineStr">
        <is>
          <t>Ooredoo Oman</t>
        </is>
      </c>
      <c r="C9" s="25" t="n">
        <v>0.001</v>
      </c>
      <c r="D9" s="25" t="n">
        <v>0.001</v>
      </c>
      <c r="E9" s="25" t="n">
        <v>0.001</v>
      </c>
      <c r="F9" s="25" t="n">
        <v>0.001</v>
      </c>
      <c r="G9" s="25" t="n">
        <v>0.001</v>
      </c>
      <c r="H9" s="25" t="n">
        <v>0.999</v>
      </c>
      <c r="I9" s="25" t="n">
        <v>0.998001</v>
      </c>
      <c r="J9" s="25" t="n">
        <v>0.997003</v>
      </c>
      <c r="K9" s="25" t="n">
        <v>0.9960059999999999</v>
      </c>
      <c r="L9" s="25" t="n">
        <v>0.99501</v>
      </c>
      <c r="M9" s="26" t="n">
        <v>0.995</v>
      </c>
    </row>
    <row r="10">
      <c r="A10" s="9" t="inlineStr">
        <is>
          <t>RCCI</t>
        </is>
      </c>
      <c r="B10" s="8" t="inlineStr">
        <is>
          <t>Raysut Cement</t>
        </is>
      </c>
      <c r="C10" s="27" t="n">
        <v>0.001</v>
      </c>
      <c r="D10" s="27" t="n">
        <v>0.001</v>
      </c>
      <c r="E10" s="27" t="n">
        <v>0.001</v>
      </c>
      <c r="F10" s="27" t="n">
        <v>0.001</v>
      </c>
      <c r="G10" s="27" t="n">
        <v>0.001</v>
      </c>
      <c r="H10" s="27" t="n">
        <v>0.999</v>
      </c>
      <c r="I10" s="27" t="n">
        <v>0.998001</v>
      </c>
      <c r="J10" s="27" t="n">
        <v>0.997003</v>
      </c>
      <c r="K10" s="27" t="n">
        <v>0.9960059999999999</v>
      </c>
      <c r="L10" s="27" t="n">
        <v>0.99501</v>
      </c>
      <c r="M10" s="28" t="n">
        <v>0.995</v>
      </c>
    </row>
    <row r="11">
      <c r="A11" s="6" t="inlineStr">
        <is>
          <t>UBAR</t>
        </is>
      </c>
      <c r="B11" s="5" t="inlineStr">
        <is>
          <t>Ubar Hotels and Resorts</t>
        </is>
      </c>
      <c r="C11" s="25" t="n">
        <v>0.001</v>
      </c>
      <c r="D11" s="25" t="n">
        <v>0.001</v>
      </c>
      <c r="E11" s="25" t="n">
        <v>0.001</v>
      </c>
      <c r="F11" s="25" t="n">
        <v>0.001</v>
      </c>
      <c r="G11" s="25" t="n">
        <v>0.001</v>
      </c>
      <c r="H11" s="25" t="n">
        <v>0.999</v>
      </c>
      <c r="I11" s="25" t="n">
        <v>0.998001</v>
      </c>
      <c r="J11" s="25" t="n">
        <v>0.997003</v>
      </c>
      <c r="K11" s="25" t="n">
        <v>0.9960059999999999</v>
      </c>
      <c r="L11" s="25" t="n">
        <v>0.99501</v>
      </c>
      <c r="M11" s="26" t="n">
        <v>0.995</v>
      </c>
    </row>
    <row r="12">
      <c r="A12" s="9" t="inlineStr">
        <is>
          <t>ORCI</t>
        </is>
      </c>
      <c r="B12" s="8" t="inlineStr">
        <is>
          <t>Oman Refreshment</t>
        </is>
      </c>
      <c r="C12" s="27" t="n">
        <v>0.001</v>
      </c>
      <c r="D12" s="27" t="n">
        <v>0.001</v>
      </c>
      <c r="E12" s="27" t="n">
        <v>0.001</v>
      </c>
      <c r="F12" s="27" t="n">
        <v>0.001</v>
      </c>
      <c r="G12" s="27" t="n">
        <v>0.001</v>
      </c>
      <c r="H12" s="27" t="n">
        <v>0.999</v>
      </c>
      <c r="I12" s="27" t="n">
        <v>0.998001</v>
      </c>
      <c r="J12" s="27" t="n">
        <v>0.997003</v>
      </c>
      <c r="K12" s="27" t="n">
        <v>0.9960059999999999</v>
      </c>
      <c r="L12" s="27" t="n">
        <v>0.99501</v>
      </c>
      <c r="M12" s="28" t="n">
        <v>0.995</v>
      </c>
    </row>
    <row r="13">
      <c r="A13" s="6" t="inlineStr">
        <is>
          <t>NGCI</t>
        </is>
      </c>
      <c r="B13" s="5" t="inlineStr">
        <is>
          <t>National Gas</t>
        </is>
      </c>
      <c r="C13" s="25" t="n">
        <v>0.001</v>
      </c>
      <c r="D13" s="25" t="n">
        <v>0.001</v>
      </c>
      <c r="E13" s="25" t="n">
        <v>0.001</v>
      </c>
      <c r="F13" s="25" t="n">
        <v>0.001</v>
      </c>
      <c r="G13" s="25" t="n">
        <v>0.001</v>
      </c>
      <c r="H13" s="25" t="n">
        <v>0.999</v>
      </c>
      <c r="I13" s="25" t="n">
        <v>0.998001</v>
      </c>
      <c r="J13" s="25" t="n">
        <v>0.997003</v>
      </c>
      <c r="K13" s="25" t="n">
        <v>0.9960059999999999</v>
      </c>
      <c r="L13" s="25" t="n">
        <v>0.99501</v>
      </c>
      <c r="M13" s="26" t="n">
        <v>0.995</v>
      </c>
    </row>
    <row r="14">
      <c r="A14" s="9" t="inlineStr">
        <is>
          <t>NAPI</t>
        </is>
      </c>
      <c r="B14" s="8" t="inlineStr">
        <is>
          <t>National Aluminium Products</t>
        </is>
      </c>
      <c r="C14" s="27" t="n">
        <v>0.001</v>
      </c>
      <c r="D14" s="27" t="n">
        <v>0.001</v>
      </c>
      <c r="E14" s="27" t="n">
        <v>0.001</v>
      </c>
      <c r="F14" s="27" t="n">
        <v>0.001</v>
      </c>
      <c r="G14" s="27" t="n">
        <v>0.001</v>
      </c>
      <c r="H14" s="27" t="n">
        <v>0.999</v>
      </c>
      <c r="I14" s="27" t="n">
        <v>0.998001</v>
      </c>
      <c r="J14" s="27" t="n">
        <v>0.997003</v>
      </c>
      <c r="K14" s="27" t="n">
        <v>0.9960059999999999</v>
      </c>
      <c r="L14" s="27" t="n">
        <v>0.99501</v>
      </c>
      <c r="M14" s="28" t="n">
        <v>0.995</v>
      </c>
    </row>
    <row r="15">
      <c r="A15" s="6" t="inlineStr">
        <is>
          <t>AFAI</t>
        </is>
      </c>
      <c r="B15" s="5" t="inlineStr">
        <is>
          <t>Al Fajar Al Alamia</t>
        </is>
      </c>
      <c r="C15" s="25" t="n">
        <v>0.001122</v>
      </c>
      <c r="D15" s="25" t="n">
        <v>0.001</v>
      </c>
      <c r="E15" s="25" t="n">
        <v>0.001</v>
      </c>
      <c r="F15" s="25" t="n">
        <v>0.001</v>
      </c>
      <c r="G15" s="25" t="n">
        <v>0.001</v>
      </c>
      <c r="H15" s="25" t="n">
        <v>0.998878</v>
      </c>
      <c r="I15" s="25" t="n">
        <v>0.997879</v>
      </c>
      <c r="J15" s="25" t="n">
        <v>0.996881</v>
      </c>
      <c r="K15" s="25" t="n">
        <v>0.995884</v>
      </c>
      <c r="L15" s="25" t="n">
        <v>0.994888</v>
      </c>
      <c r="M15" s="26" t="n">
        <v>0.9949</v>
      </c>
    </row>
    <row r="16">
      <c r="A16" s="9" t="inlineStr">
        <is>
          <t>TAOI</t>
        </is>
      </c>
      <c r="B16" s="8" t="inlineStr">
        <is>
          <t>Takaful Oman</t>
        </is>
      </c>
      <c r="C16" s="27" t="n">
        <v>0.217337</v>
      </c>
      <c r="D16" s="27" t="n">
        <v>0.100119</v>
      </c>
      <c r="E16" s="27" t="n">
        <v>0.042674</v>
      </c>
      <c r="F16" s="27" t="n">
        <v>0.017547</v>
      </c>
      <c r="G16" s="27" t="n">
        <v>0.007105</v>
      </c>
      <c r="H16" s="27" t="n">
        <v>0.782663</v>
      </c>
      <c r="I16" s="27" t="n">
        <v>0.704303</v>
      </c>
      <c r="J16" s="27" t="n">
        <v>0.674248</v>
      </c>
      <c r="K16" s="27" t="n">
        <v>0.662417</v>
      </c>
      <c r="L16" s="27" t="n">
        <v>0.65771</v>
      </c>
      <c r="M16" s="28" t="n">
        <v>0.6577</v>
      </c>
    </row>
    <row r="17">
      <c r="A17" s="6" t="inlineStr">
        <is>
          <t>AMCI</t>
        </is>
      </c>
      <c r="B17" s="5" t="inlineStr">
        <is>
          <t>Al Maha Ceramics</t>
        </is>
      </c>
      <c r="C17" s="25" t="n">
        <v>0.034279</v>
      </c>
      <c r="D17" s="25" t="n">
        <v>0.014603</v>
      </c>
      <c r="E17" s="25" t="n">
        <v>0.006149</v>
      </c>
      <c r="F17" s="25" t="n">
        <v>0.002576</v>
      </c>
      <c r="G17" s="25" t="n">
        <v>0.001077</v>
      </c>
      <c r="H17" s="25" t="n">
        <v>0.9657210000000001</v>
      </c>
      <c r="I17" s="25" t="n">
        <v>0.951618</v>
      </c>
      <c r="J17" s="25" t="n">
        <v>0.945767</v>
      </c>
      <c r="K17" s="25" t="n">
        <v>0.943331</v>
      </c>
      <c r="L17" s="25" t="n">
        <v>0.942314</v>
      </c>
      <c r="M17" s="26" t="n">
        <v>0.9423</v>
      </c>
    </row>
    <row r="20">
      <c r="A20" s="2" t="inlineStr">
        <is>
          <t>COMPOSITE V3.0 SCORES</t>
        </is>
      </c>
    </row>
    <row r="21">
      <c r="A21" s="4" t="inlineStr">
        <is>
          <t>Ticker</t>
        </is>
      </c>
      <c r="B21" s="4" t="inlineStr">
        <is>
          <t>Company</t>
        </is>
      </c>
      <c r="C21" s="4" t="inlineStr">
        <is>
          <t>P(Recovery)</t>
        </is>
      </c>
      <c r="D21" s="4" t="inlineStr">
        <is>
          <t>× S(5)</t>
        </is>
      </c>
      <c r="E21" s="4">
        <f> Composite V3</f>
        <v/>
      </c>
      <c r="F21" s="4" t="inlineStr">
        <is>
          <t>Final Verdict</t>
        </is>
      </c>
    </row>
    <row r="22">
      <c r="A22" s="6" t="inlineStr">
        <is>
          <t>SUWP</t>
        </is>
      </c>
      <c r="B22" s="5" t="inlineStr">
        <is>
          <t>Al Suwadi Power</t>
        </is>
      </c>
      <c r="C22" s="5" t="n">
        <v>0.9674</v>
      </c>
      <c r="D22" s="5" t="n">
        <v>0.995</v>
      </c>
      <c r="E22" s="6" t="n">
        <v>0.9626</v>
      </c>
      <c r="F22" s="7" t="inlineStr">
        <is>
          <t>GO</t>
        </is>
      </c>
    </row>
    <row r="23">
      <c r="A23" s="6" t="inlineStr">
        <is>
          <t>BATP</t>
        </is>
      </c>
      <c r="B23" s="5" t="inlineStr">
        <is>
          <t>Al Batinah Power</t>
        </is>
      </c>
      <c r="C23" s="5" t="n">
        <v>0.9671</v>
      </c>
      <c r="D23" s="5" t="n">
        <v>0.995</v>
      </c>
      <c r="E23" s="6" t="n">
        <v>0.9623</v>
      </c>
      <c r="F23" s="7" t="inlineStr">
        <is>
          <t>GO</t>
        </is>
      </c>
    </row>
    <row r="24">
      <c r="A24" s="6" t="inlineStr">
        <is>
          <t>AFIC</t>
        </is>
      </c>
      <c r="B24" s="5" t="inlineStr">
        <is>
          <t>Arabia Falcon Insurance</t>
        </is>
      </c>
      <c r="C24" s="5" t="n">
        <v>0.9448</v>
      </c>
      <c r="D24" s="5" t="n">
        <v>0.9933</v>
      </c>
      <c r="E24" s="6" t="n">
        <v>0.9384</v>
      </c>
      <c r="F24" s="7" t="inlineStr">
        <is>
          <t>GO</t>
        </is>
      </c>
    </row>
    <row r="25">
      <c r="A25" s="6" t="inlineStr">
        <is>
          <t>AMAT</t>
        </is>
      </c>
      <c r="B25" s="5" t="inlineStr">
        <is>
          <t>Al Madina Takaful</t>
        </is>
      </c>
      <c r="C25" s="5" t="n">
        <v>0.931</v>
      </c>
      <c r="D25" s="5" t="n">
        <v>0.9896</v>
      </c>
      <c r="E25" s="6" t="n">
        <v>0.9214</v>
      </c>
      <c r="F25" s="7" t="inlineStr">
        <is>
          <t>GO</t>
        </is>
      </c>
    </row>
    <row r="26">
      <c r="A26" s="6" t="inlineStr">
        <is>
          <t>ORDS</t>
        </is>
      </c>
      <c r="B26" s="5" t="inlineStr">
        <is>
          <t>Ooredoo Oman</t>
        </is>
      </c>
      <c r="C26" s="5" t="n">
        <v>0.9153</v>
      </c>
      <c r="D26" s="5" t="n">
        <v>0.995</v>
      </c>
      <c r="E26" s="6" t="n">
        <v>0.9108000000000001</v>
      </c>
      <c r="F26" s="7" t="inlineStr">
        <is>
          <t>GO</t>
        </is>
      </c>
    </row>
    <row r="27">
      <c r="A27" s="6" t="inlineStr">
        <is>
          <t>RCCI</t>
        </is>
      </c>
      <c r="B27" s="5" t="inlineStr">
        <is>
          <t>Raysut Cement</t>
        </is>
      </c>
      <c r="C27" s="5" t="n">
        <v>0.912</v>
      </c>
      <c r="D27" s="5" t="n">
        <v>0.995</v>
      </c>
      <c r="E27" s="6" t="n">
        <v>0.9074</v>
      </c>
      <c r="F27" s="7" t="inlineStr">
        <is>
          <t>GO</t>
        </is>
      </c>
    </row>
    <row r="28">
      <c r="A28" s="6" t="inlineStr">
        <is>
          <t>UBAR</t>
        </is>
      </c>
      <c r="B28" s="5" t="inlineStr">
        <is>
          <t>Ubar Hotels and Resorts</t>
        </is>
      </c>
      <c r="C28" s="5" t="n">
        <v>0.8858</v>
      </c>
      <c r="D28" s="5" t="n">
        <v>0.995</v>
      </c>
      <c r="E28" s="6" t="n">
        <v>0.8814</v>
      </c>
      <c r="F28" s="7" t="inlineStr">
        <is>
          <t>GO</t>
        </is>
      </c>
    </row>
    <row r="29">
      <c r="A29" s="6" t="inlineStr">
        <is>
          <t>ORCI</t>
        </is>
      </c>
      <c r="B29" s="5" t="inlineStr">
        <is>
          <t>Oman Refreshment</t>
        </is>
      </c>
      <c r="C29" s="5" t="n">
        <v>0.8002</v>
      </c>
      <c r="D29" s="5" t="n">
        <v>0.995</v>
      </c>
      <c r="E29" s="6" t="n">
        <v>0.7962</v>
      </c>
      <c r="F29" s="7" t="inlineStr">
        <is>
          <t>GO</t>
        </is>
      </c>
    </row>
    <row r="30">
      <c r="A30" s="6" t="inlineStr">
        <is>
          <t>NGCI</t>
        </is>
      </c>
      <c r="B30" s="5" t="inlineStr">
        <is>
          <t>National Gas</t>
        </is>
      </c>
      <c r="C30" s="5" t="n">
        <v>0.7281</v>
      </c>
      <c r="D30" s="5" t="n">
        <v>0.995</v>
      </c>
      <c r="E30" s="6" t="n">
        <v>0.7244</v>
      </c>
      <c r="F30" s="7" t="inlineStr">
        <is>
          <t>GO</t>
        </is>
      </c>
    </row>
    <row r="31">
      <c r="A31" s="6" t="inlineStr">
        <is>
          <t>NAPI</t>
        </is>
      </c>
      <c r="B31" s="5" t="inlineStr">
        <is>
          <t>National Aluminium Products</t>
        </is>
      </c>
      <c r="C31" s="5" t="n">
        <v>0.6734</v>
      </c>
      <c r="D31" s="5" t="n">
        <v>0.995</v>
      </c>
      <c r="E31" s="6" t="n">
        <v>0.67</v>
      </c>
      <c r="F31" s="7" t="inlineStr">
        <is>
          <t>GO</t>
        </is>
      </c>
    </row>
    <row r="32">
      <c r="A32" s="6" t="inlineStr">
        <is>
          <t>AFAI</t>
        </is>
      </c>
      <c r="B32" s="5" t="inlineStr">
        <is>
          <t>Al Fajar Al Alamia</t>
        </is>
      </c>
      <c r="C32" s="5" t="n">
        <v>0.5496</v>
      </c>
      <c r="D32" s="5" t="n">
        <v>0.9949</v>
      </c>
      <c r="E32" s="6" t="n">
        <v>0.5468</v>
      </c>
      <c r="F32" s="10" t="inlineStr">
        <is>
          <t>CONDITIONAL</t>
        </is>
      </c>
    </row>
    <row r="33">
      <c r="A33" s="6" t="inlineStr">
        <is>
          <t>TAOI</t>
        </is>
      </c>
      <c r="B33" s="5" t="inlineStr">
        <is>
          <t>Takaful Oman</t>
        </is>
      </c>
      <c r="C33" s="5" t="n">
        <v>0.7674</v>
      </c>
      <c r="D33" s="5" t="n">
        <v>0.6577</v>
      </c>
      <c r="E33" s="6" t="n">
        <v>0.5047</v>
      </c>
      <c r="F33" s="10" t="inlineStr">
        <is>
          <t>CONDITIONAL</t>
        </is>
      </c>
    </row>
    <row r="34">
      <c r="A34" s="6" t="inlineStr">
        <is>
          <t>AMCI</t>
        </is>
      </c>
      <c r="B34" s="5" t="inlineStr">
        <is>
          <t>Al Maha Ceramics</t>
        </is>
      </c>
      <c r="C34" s="5" t="n">
        <v>0.3129</v>
      </c>
      <c r="D34" s="5" t="n">
        <v>0.9423</v>
      </c>
      <c r="E34" s="6" t="n">
        <v>0.2949</v>
      </c>
      <c r="F34" s="11" t="inlineStr">
        <is>
          <t>NO-GO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Stress Test Results — 4 Scenarios × 13 Companies</t>
        </is>
      </c>
    </row>
    <row r="3">
      <c r="A3" s="2" t="inlineStr">
        <is>
          <t>A: Working Capital Crisis</t>
        </is>
      </c>
    </row>
    <row r="4">
      <c r="A4" s="4" t="inlineStr">
        <is>
          <t>Ticker</t>
        </is>
      </c>
      <c r="B4" s="4" t="inlineStr">
        <is>
          <t>Company</t>
        </is>
      </c>
      <c r="C4" s="4" t="inlineStr">
        <is>
          <t>Base Verdict</t>
        </is>
      </c>
      <c r="D4" s="4" t="inlineStr">
        <is>
          <t>Stress P(R)</t>
        </is>
      </c>
      <c r="E4" s="4" t="inlineStr">
        <is>
          <t>Stress S(5)</t>
        </is>
      </c>
      <c r="F4" s="4" t="inlineStr">
        <is>
          <t>Stress Composite</t>
        </is>
      </c>
      <c r="G4" s="4" t="inlineStr">
        <is>
          <t>Stress Verdict</t>
        </is>
      </c>
      <c r="H4" s="4" t="inlineStr">
        <is>
          <t>Changed?</t>
        </is>
      </c>
    </row>
    <row r="5">
      <c r="A5" s="12" t="inlineStr">
        <is>
          <t>SUWP</t>
        </is>
      </c>
      <c r="B5" s="13" t="inlineStr">
        <is>
          <t>Al Suwadi Power</t>
        </is>
      </c>
      <c r="C5" s="29" t="inlineStr">
        <is>
          <t>GO</t>
        </is>
      </c>
      <c r="D5" s="13" t="n">
        <v>0.9669</v>
      </c>
      <c r="E5" s="13" t="n">
        <v>0.995</v>
      </c>
      <c r="F5" s="13" t="n">
        <v>0.9621</v>
      </c>
      <c r="G5" s="30" t="inlineStr">
        <is>
          <t>GO</t>
        </is>
      </c>
      <c r="H5" s="13" t="inlineStr">
        <is>
          <t>No</t>
        </is>
      </c>
    </row>
    <row r="6">
      <c r="A6" s="12" t="inlineStr">
        <is>
          <t>BATP</t>
        </is>
      </c>
      <c r="B6" s="13" t="inlineStr">
        <is>
          <t>Al Batinah Power</t>
        </is>
      </c>
      <c r="C6" s="29" t="inlineStr">
        <is>
          <t>GO</t>
        </is>
      </c>
      <c r="D6" s="13" t="n">
        <v>0.9667</v>
      </c>
      <c r="E6" s="13" t="n">
        <v>0.995</v>
      </c>
      <c r="F6" s="13" t="n">
        <v>0.9619</v>
      </c>
      <c r="G6" s="30" t="inlineStr">
        <is>
          <t>GO</t>
        </is>
      </c>
      <c r="H6" s="13" t="inlineStr">
        <is>
          <t>No</t>
        </is>
      </c>
    </row>
    <row r="7">
      <c r="A7" s="12" t="inlineStr">
        <is>
          <t>AFIC</t>
        </is>
      </c>
      <c r="B7" s="13" t="inlineStr">
        <is>
          <t>Arabia Falcon Insurance</t>
        </is>
      </c>
      <c r="C7" s="29" t="inlineStr">
        <is>
          <t>GO</t>
        </is>
      </c>
      <c r="D7" s="13" t="n">
        <v>0.9423</v>
      </c>
      <c r="E7" s="13" t="n">
        <v>0.9933</v>
      </c>
      <c r="F7" s="13" t="n">
        <v>0.9359</v>
      </c>
      <c r="G7" s="30" t="inlineStr">
        <is>
          <t>GO</t>
        </is>
      </c>
      <c r="H7" s="13" t="inlineStr">
        <is>
          <t>No</t>
        </is>
      </c>
    </row>
    <row r="8">
      <c r="A8" s="12" t="inlineStr">
        <is>
          <t>AMAT</t>
        </is>
      </c>
      <c r="B8" s="13" t="inlineStr">
        <is>
          <t>Al Madina Takaful</t>
        </is>
      </c>
      <c r="C8" s="29" t="inlineStr">
        <is>
          <t>GO</t>
        </is>
      </c>
      <c r="D8" s="13" t="n">
        <v>0.9285</v>
      </c>
      <c r="E8" s="13" t="n">
        <v>0.9896</v>
      </c>
      <c r="F8" s="13" t="n">
        <v>0.9189000000000001</v>
      </c>
      <c r="G8" s="30" t="inlineStr">
        <is>
          <t>GO</t>
        </is>
      </c>
      <c r="H8" s="13" t="inlineStr">
        <is>
          <t>No</t>
        </is>
      </c>
    </row>
    <row r="9">
      <c r="A9" s="12" t="inlineStr">
        <is>
          <t>ORDS</t>
        </is>
      </c>
      <c r="B9" s="13" t="inlineStr">
        <is>
          <t>Ooredoo Oman</t>
        </is>
      </c>
      <c r="C9" s="29" t="inlineStr">
        <is>
          <t>GO</t>
        </is>
      </c>
      <c r="D9" s="13" t="n">
        <v>0.917</v>
      </c>
      <c r="E9" s="13" t="n">
        <v>0.995</v>
      </c>
      <c r="F9" s="13" t="n">
        <v>0.9124</v>
      </c>
      <c r="G9" s="30" t="inlineStr">
        <is>
          <t>GO</t>
        </is>
      </c>
      <c r="H9" s="13" t="inlineStr">
        <is>
          <t>No</t>
        </is>
      </c>
    </row>
    <row r="10">
      <c r="A10" s="12" t="inlineStr">
        <is>
          <t>RCCI</t>
        </is>
      </c>
      <c r="B10" s="13" t="inlineStr">
        <is>
          <t>Raysut Cement</t>
        </is>
      </c>
      <c r="C10" s="29" t="inlineStr">
        <is>
          <t>GO</t>
        </is>
      </c>
      <c r="D10" s="13" t="n">
        <v>0.9185</v>
      </c>
      <c r="E10" s="13" t="n">
        <v>0.995</v>
      </c>
      <c r="F10" s="13" t="n">
        <v>0.9139</v>
      </c>
      <c r="G10" s="30" t="inlineStr">
        <is>
          <t>GO</t>
        </is>
      </c>
      <c r="H10" s="13" t="inlineStr">
        <is>
          <t>No</t>
        </is>
      </c>
    </row>
    <row r="11">
      <c r="A11" s="12" t="inlineStr">
        <is>
          <t>UBAR</t>
        </is>
      </c>
      <c r="B11" s="13" t="inlineStr">
        <is>
          <t>Ubar Hotels and Resorts</t>
        </is>
      </c>
      <c r="C11" s="29" t="inlineStr">
        <is>
          <t>GO</t>
        </is>
      </c>
      <c r="D11" s="13" t="n">
        <v>0.9005</v>
      </c>
      <c r="E11" s="13" t="n">
        <v>0.995</v>
      </c>
      <c r="F11" s="13" t="n">
        <v>0.896</v>
      </c>
      <c r="G11" s="30" t="inlineStr">
        <is>
          <t>GO</t>
        </is>
      </c>
      <c r="H11" s="13" t="inlineStr">
        <is>
          <t>No</t>
        </is>
      </c>
    </row>
    <row r="12">
      <c r="A12" s="12" t="inlineStr">
        <is>
          <t>ORCI</t>
        </is>
      </c>
      <c r="B12" s="13" t="inlineStr">
        <is>
          <t>Oman Refreshment</t>
        </is>
      </c>
      <c r="C12" s="29" t="inlineStr">
        <is>
          <t>GO</t>
        </is>
      </c>
      <c r="D12" s="13" t="n">
        <v>0.8067</v>
      </c>
      <c r="E12" s="13" t="n">
        <v>0.995</v>
      </c>
      <c r="F12" s="13" t="n">
        <v>0.8027</v>
      </c>
      <c r="G12" s="30" t="inlineStr">
        <is>
          <t>GO</t>
        </is>
      </c>
      <c r="H12" s="13" t="inlineStr">
        <is>
          <t>No</t>
        </is>
      </c>
    </row>
    <row r="13">
      <c r="A13" s="12" t="inlineStr">
        <is>
          <t>NGCI</t>
        </is>
      </c>
      <c r="B13" s="13" t="inlineStr">
        <is>
          <t>National Gas</t>
        </is>
      </c>
      <c r="C13" s="29" t="inlineStr">
        <is>
          <t>GO</t>
        </is>
      </c>
      <c r="D13" s="13" t="n">
        <v>0.7489</v>
      </c>
      <c r="E13" s="13" t="n">
        <v>0.995</v>
      </c>
      <c r="F13" s="13" t="n">
        <v>0.7452</v>
      </c>
      <c r="G13" s="30" t="inlineStr">
        <is>
          <t>GO</t>
        </is>
      </c>
      <c r="H13" s="13" t="inlineStr">
        <is>
          <t>No</t>
        </is>
      </c>
    </row>
    <row r="14">
      <c r="A14" s="12" t="inlineStr">
        <is>
          <t>NAPI</t>
        </is>
      </c>
      <c r="B14" s="13" t="inlineStr">
        <is>
          <t>National Aluminium Products</t>
        </is>
      </c>
      <c r="C14" s="29" t="inlineStr">
        <is>
          <t>GO</t>
        </is>
      </c>
      <c r="D14" s="13" t="n">
        <v>0.7131</v>
      </c>
      <c r="E14" s="13" t="n">
        <v>0.995</v>
      </c>
      <c r="F14" s="13" t="n">
        <v>0.7096</v>
      </c>
      <c r="G14" s="30" t="inlineStr">
        <is>
          <t>GO</t>
        </is>
      </c>
      <c r="H14" s="13" t="inlineStr">
        <is>
          <t>No</t>
        </is>
      </c>
    </row>
    <row r="15">
      <c r="A15" s="12" t="inlineStr">
        <is>
          <t>AFAI</t>
        </is>
      </c>
      <c r="B15" s="13" t="inlineStr">
        <is>
          <t>Al Fajar Al Alamia</t>
        </is>
      </c>
      <c r="C15" s="31" t="inlineStr">
        <is>
          <t>CONDITIONAL</t>
        </is>
      </c>
      <c r="D15" s="13" t="n">
        <v>0.6032999999999999</v>
      </c>
      <c r="E15" s="13" t="n">
        <v>0.9949</v>
      </c>
      <c r="F15" s="13" t="n">
        <v>0.6002</v>
      </c>
      <c r="G15" s="32" t="inlineStr">
        <is>
          <t>CONDITIONAL</t>
        </is>
      </c>
      <c r="H15" s="13" t="inlineStr">
        <is>
          <t>No</t>
        </is>
      </c>
    </row>
    <row r="16">
      <c r="A16" s="12" t="inlineStr">
        <is>
          <t>TAOI</t>
        </is>
      </c>
      <c r="B16" s="13" t="inlineStr">
        <is>
          <t>Takaful Oman</t>
        </is>
      </c>
      <c r="C16" s="31" t="inlineStr">
        <is>
          <t>CONDITIONAL</t>
        </is>
      </c>
      <c r="D16" s="13" t="n">
        <v>0.7737000000000001</v>
      </c>
      <c r="E16" s="13" t="n">
        <v>0.6526</v>
      </c>
      <c r="F16" s="13" t="n">
        <v>0.5049</v>
      </c>
      <c r="G16" s="32" t="inlineStr">
        <is>
          <t>CONDITIONAL</t>
        </is>
      </c>
      <c r="H16" s="13" t="inlineStr">
        <is>
          <t>No</t>
        </is>
      </c>
    </row>
    <row r="17">
      <c r="A17" s="12" t="inlineStr">
        <is>
          <t>AMCI</t>
        </is>
      </c>
      <c r="B17" s="13" t="inlineStr">
        <is>
          <t>Al Maha Ceramics</t>
        </is>
      </c>
      <c r="C17" s="33" t="inlineStr">
        <is>
          <t>NO-GO</t>
        </is>
      </c>
      <c r="D17" s="13" t="n">
        <v>0.3437</v>
      </c>
      <c r="E17" s="13" t="n">
        <v>0.9424</v>
      </c>
      <c r="F17" s="13" t="n">
        <v>0.3239</v>
      </c>
      <c r="G17" s="34" t="inlineStr">
        <is>
          <t>NO-GO</t>
        </is>
      </c>
      <c r="H17" s="13" t="inlineStr">
        <is>
          <t>No</t>
        </is>
      </c>
    </row>
    <row r="19">
      <c r="A19" s="2" t="inlineStr">
        <is>
          <t>B: Margin Compression</t>
        </is>
      </c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Base Verdict</t>
        </is>
      </c>
      <c r="D20" s="4" t="inlineStr">
        <is>
          <t>Stress P(R)</t>
        </is>
      </c>
      <c r="E20" s="4" t="inlineStr">
        <is>
          <t>Stress S(5)</t>
        </is>
      </c>
      <c r="F20" s="4" t="inlineStr">
        <is>
          <t>Stress Composite</t>
        </is>
      </c>
      <c r="G20" s="4" t="inlineStr">
        <is>
          <t>Stress Verdict</t>
        </is>
      </c>
      <c r="H20" s="4" t="inlineStr">
        <is>
          <t>Changed?</t>
        </is>
      </c>
    </row>
    <row r="21">
      <c r="A21" s="12" t="inlineStr">
        <is>
          <t>SUWP</t>
        </is>
      </c>
      <c r="B21" s="13" t="inlineStr">
        <is>
          <t>Al Suwadi Power</t>
        </is>
      </c>
      <c r="C21" s="29" t="inlineStr">
        <is>
          <t>GO</t>
        </is>
      </c>
      <c r="D21" s="13" t="n">
        <v>0.9635</v>
      </c>
      <c r="E21" s="13" t="n">
        <v>0.995</v>
      </c>
      <c r="F21" s="13" t="n">
        <v>0.9586</v>
      </c>
      <c r="G21" s="30" t="inlineStr">
        <is>
          <t>GO</t>
        </is>
      </c>
      <c r="H21" s="13" t="inlineStr">
        <is>
          <t>No</t>
        </is>
      </c>
    </row>
    <row r="22">
      <c r="A22" s="12" t="inlineStr">
        <is>
          <t>BATP</t>
        </is>
      </c>
      <c r="B22" s="13" t="inlineStr">
        <is>
          <t>Al Batinah Power</t>
        </is>
      </c>
      <c r="C22" s="29" t="inlineStr">
        <is>
          <t>GO</t>
        </is>
      </c>
      <c r="D22" s="13" t="n">
        <v>0.9629</v>
      </c>
      <c r="E22" s="13" t="n">
        <v>0.995</v>
      </c>
      <c r="F22" s="13" t="n">
        <v>0.9581</v>
      </c>
      <c r="G22" s="30" t="inlineStr">
        <is>
          <t>GO</t>
        </is>
      </c>
      <c r="H22" s="13" t="inlineStr">
        <is>
          <t>No</t>
        </is>
      </c>
    </row>
    <row r="23">
      <c r="A23" s="12" t="inlineStr">
        <is>
          <t>AFIC</t>
        </is>
      </c>
      <c r="B23" s="13" t="inlineStr">
        <is>
          <t>Arabia Falcon Insurance</t>
        </is>
      </c>
      <c r="C23" s="29" t="inlineStr">
        <is>
          <t>GO</t>
        </is>
      </c>
      <c r="D23" s="13" t="n">
        <v>0.9195</v>
      </c>
      <c r="E23" s="13" t="n">
        <v>0.9784</v>
      </c>
      <c r="F23" s="13" t="n">
        <v>0.8996</v>
      </c>
      <c r="G23" s="30" t="inlineStr">
        <is>
          <t>GO</t>
        </is>
      </c>
      <c r="H23" s="13" t="inlineStr">
        <is>
          <t>No</t>
        </is>
      </c>
    </row>
    <row r="24">
      <c r="A24" s="12" t="inlineStr">
        <is>
          <t>AMAT</t>
        </is>
      </c>
      <c r="B24" s="13" t="inlineStr">
        <is>
          <t>Al Madina Takaful</t>
        </is>
      </c>
      <c r="C24" s="29" t="inlineStr">
        <is>
          <t>GO</t>
        </is>
      </c>
      <c r="D24" s="13" t="n">
        <v>0.9049</v>
      </c>
      <c r="E24" s="13" t="n">
        <v>0.964</v>
      </c>
      <c r="F24" s="13" t="n">
        <v>0.8724</v>
      </c>
      <c r="G24" s="30" t="inlineStr">
        <is>
          <t>GO</t>
        </is>
      </c>
      <c r="H24" s="13" t="inlineStr">
        <is>
          <t>No</t>
        </is>
      </c>
    </row>
    <row r="25">
      <c r="A25" s="12" t="inlineStr">
        <is>
          <t>ORDS</t>
        </is>
      </c>
      <c r="B25" s="13" t="inlineStr">
        <is>
          <t>Ooredoo Oman</t>
        </is>
      </c>
      <c r="C25" s="29" t="inlineStr">
        <is>
          <t>GO</t>
        </is>
      </c>
      <c r="D25" s="13" t="n">
        <v>0.8914</v>
      </c>
      <c r="E25" s="13" t="n">
        <v>0.995</v>
      </c>
      <c r="F25" s="13" t="n">
        <v>0.887</v>
      </c>
      <c r="G25" s="30" t="inlineStr">
        <is>
          <t>GO</t>
        </is>
      </c>
      <c r="H25" s="13" t="inlineStr">
        <is>
          <t>No</t>
        </is>
      </c>
    </row>
    <row r="26">
      <c r="A26" s="12" t="inlineStr">
        <is>
          <t>RCCI</t>
        </is>
      </c>
      <c r="B26" s="13" t="inlineStr">
        <is>
          <t>Raysut Cement</t>
        </is>
      </c>
      <c r="C26" s="29" t="inlineStr">
        <is>
          <t>GO</t>
        </is>
      </c>
      <c r="D26" s="13" t="n">
        <v>0.9081</v>
      </c>
      <c r="E26" s="13" t="n">
        <v>0.995</v>
      </c>
      <c r="F26" s="13" t="n">
        <v>0.9035</v>
      </c>
      <c r="G26" s="30" t="inlineStr">
        <is>
          <t>GO</t>
        </is>
      </c>
      <c r="H26" s="13" t="inlineStr">
        <is>
          <t>No</t>
        </is>
      </c>
    </row>
    <row r="27">
      <c r="A27" s="12" t="inlineStr">
        <is>
          <t>UBAR</t>
        </is>
      </c>
      <c r="B27" s="13" t="inlineStr">
        <is>
          <t>Ubar Hotels and Resorts</t>
        </is>
      </c>
      <c r="C27" s="29" t="inlineStr">
        <is>
          <t>GO</t>
        </is>
      </c>
      <c r="D27" s="13" t="n">
        <v>0.8915999999999999</v>
      </c>
      <c r="E27" s="13" t="n">
        <v>0.995</v>
      </c>
      <c r="F27" s="13" t="n">
        <v>0.8872</v>
      </c>
      <c r="G27" s="30" t="inlineStr">
        <is>
          <t>GO</t>
        </is>
      </c>
      <c r="H27" s="13" t="inlineStr">
        <is>
          <t>No</t>
        </is>
      </c>
    </row>
    <row r="28">
      <c r="A28" s="12" t="inlineStr">
        <is>
          <t>ORCI</t>
        </is>
      </c>
      <c r="B28" s="13" t="inlineStr">
        <is>
          <t>Oman Refreshment</t>
        </is>
      </c>
      <c r="C28" s="29" t="inlineStr">
        <is>
          <t>GO</t>
        </is>
      </c>
      <c r="D28" s="13" t="n">
        <v>0.8080000000000001</v>
      </c>
      <c r="E28" s="13" t="n">
        <v>0.995</v>
      </c>
      <c r="F28" s="13" t="n">
        <v>0.8038999999999999</v>
      </c>
      <c r="G28" s="30" t="inlineStr">
        <is>
          <t>GO</t>
        </is>
      </c>
      <c r="H28" s="13" t="inlineStr">
        <is>
          <t>No</t>
        </is>
      </c>
    </row>
    <row r="29">
      <c r="A29" s="12" t="inlineStr">
        <is>
          <t>NGCI</t>
        </is>
      </c>
      <c r="B29" s="13" t="inlineStr">
        <is>
          <t>National Gas</t>
        </is>
      </c>
      <c r="C29" s="29" t="inlineStr">
        <is>
          <t>GO</t>
        </is>
      </c>
      <c r="D29" s="13" t="n">
        <v>0.7652</v>
      </c>
      <c r="E29" s="13" t="n">
        <v>0.995</v>
      </c>
      <c r="F29" s="13" t="n">
        <v>0.7614</v>
      </c>
      <c r="G29" s="30" t="inlineStr">
        <is>
          <t>GO</t>
        </is>
      </c>
      <c r="H29" s="13" t="inlineStr">
        <is>
          <t>No</t>
        </is>
      </c>
    </row>
    <row r="30">
      <c r="A30" s="12" t="inlineStr">
        <is>
          <t>NAPI</t>
        </is>
      </c>
      <c r="B30" s="13" t="inlineStr">
        <is>
          <t>National Aluminium Products</t>
        </is>
      </c>
      <c r="C30" s="29" t="inlineStr">
        <is>
          <t>GO</t>
        </is>
      </c>
      <c r="D30" s="13" t="n">
        <v>0.6767</v>
      </c>
      <c r="E30" s="13" t="n">
        <v>0.995</v>
      </c>
      <c r="F30" s="13" t="n">
        <v>0.6734</v>
      </c>
      <c r="G30" s="30" t="inlineStr">
        <is>
          <t>GO</t>
        </is>
      </c>
      <c r="H30" s="13" t="inlineStr">
        <is>
          <t>No</t>
        </is>
      </c>
    </row>
    <row r="31">
      <c r="A31" s="12" t="inlineStr">
        <is>
          <t>AFAI</t>
        </is>
      </c>
      <c r="B31" s="13" t="inlineStr">
        <is>
          <t>Al Fajar Al Alamia</t>
        </is>
      </c>
      <c r="C31" s="31" t="inlineStr">
        <is>
          <t>CONDITIONAL</t>
        </is>
      </c>
      <c r="D31" s="13" t="n">
        <v>0.6001</v>
      </c>
      <c r="E31" s="13" t="n">
        <v>0.995</v>
      </c>
      <c r="F31" s="13" t="n">
        <v>0.5971</v>
      </c>
      <c r="G31" s="32" t="inlineStr">
        <is>
          <t>CONDITIONAL</t>
        </is>
      </c>
      <c r="H31" s="13" t="inlineStr">
        <is>
          <t>No</t>
        </is>
      </c>
    </row>
    <row r="32">
      <c r="A32" s="12" t="inlineStr">
        <is>
          <t>TAOI</t>
        </is>
      </c>
      <c r="B32" s="13" t="inlineStr">
        <is>
          <t>Takaful Oman</t>
        </is>
      </c>
      <c r="C32" s="31" t="inlineStr">
        <is>
          <t>CONDITIONAL</t>
        </is>
      </c>
      <c r="D32" s="13" t="n">
        <v>0.7946</v>
      </c>
      <c r="E32" s="13" t="n">
        <v>0.7669</v>
      </c>
      <c r="F32" s="13" t="n">
        <v>0.6094000000000001</v>
      </c>
      <c r="G32" s="32" t="inlineStr">
        <is>
          <t>CONDITIONAL</t>
        </is>
      </c>
      <c r="H32" s="13" t="inlineStr">
        <is>
          <t>No</t>
        </is>
      </c>
    </row>
    <row r="33">
      <c r="A33" s="12" t="inlineStr">
        <is>
          <t>AMCI</t>
        </is>
      </c>
      <c r="B33" s="13" t="inlineStr">
        <is>
          <t>Al Maha Ceramics</t>
        </is>
      </c>
      <c r="C33" s="33" t="inlineStr">
        <is>
          <t>NO-GO</t>
        </is>
      </c>
      <c r="D33" s="13" t="n">
        <v>0.3312</v>
      </c>
      <c r="E33" s="13" t="n">
        <v>0.4527</v>
      </c>
      <c r="F33" s="13" t="n">
        <v>0.1499</v>
      </c>
      <c r="G33" s="34" t="inlineStr">
        <is>
          <t>NO-GO</t>
        </is>
      </c>
      <c r="H33" s="13" t="inlineStr">
        <is>
          <t>No</t>
        </is>
      </c>
    </row>
    <row r="35">
      <c r="A35" s="2" t="inlineStr">
        <is>
          <t>C: Refinancing Crisis</t>
        </is>
      </c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Base Verdict</t>
        </is>
      </c>
      <c r="D36" s="4" t="inlineStr">
        <is>
          <t>Stress P(R)</t>
        </is>
      </c>
      <c r="E36" s="4" t="inlineStr">
        <is>
          <t>Stress S(5)</t>
        </is>
      </c>
      <c r="F36" s="4" t="inlineStr">
        <is>
          <t>Stress Composite</t>
        </is>
      </c>
      <c r="G36" s="4" t="inlineStr">
        <is>
          <t>Stress Verdict</t>
        </is>
      </c>
      <c r="H36" s="4" t="inlineStr">
        <is>
          <t>Changed?</t>
        </is>
      </c>
    </row>
    <row r="37">
      <c r="A37" s="12" t="inlineStr">
        <is>
          <t>SUWP</t>
        </is>
      </c>
      <c r="B37" s="13" t="inlineStr">
        <is>
          <t>Al Suwadi Power</t>
        </is>
      </c>
      <c r="C37" s="29" t="inlineStr">
        <is>
          <t>GO</t>
        </is>
      </c>
      <c r="D37" s="13" t="n">
        <v>0.9588</v>
      </c>
      <c r="E37" s="13" t="n">
        <v>0.995</v>
      </c>
      <c r="F37" s="13" t="n">
        <v>0.954</v>
      </c>
      <c r="G37" s="30" t="inlineStr">
        <is>
          <t>GO</t>
        </is>
      </c>
      <c r="H37" s="13" t="inlineStr">
        <is>
          <t>No</t>
        </is>
      </c>
    </row>
    <row r="38">
      <c r="A38" s="12" t="inlineStr">
        <is>
          <t>BATP</t>
        </is>
      </c>
      <c r="B38" s="13" t="inlineStr">
        <is>
          <t>Al Batinah Power</t>
        </is>
      </c>
      <c r="C38" s="29" t="inlineStr">
        <is>
          <t>GO</t>
        </is>
      </c>
      <c r="D38" s="13" t="n">
        <v>0.9582000000000001</v>
      </c>
      <c r="E38" s="13" t="n">
        <v>0.995</v>
      </c>
      <c r="F38" s="13" t="n">
        <v>0.9535</v>
      </c>
      <c r="G38" s="30" t="inlineStr">
        <is>
          <t>GO</t>
        </is>
      </c>
      <c r="H38" s="13" t="inlineStr">
        <is>
          <t>No</t>
        </is>
      </c>
    </row>
    <row r="39">
      <c r="A39" s="12" t="inlineStr">
        <is>
          <t>AFIC</t>
        </is>
      </c>
      <c r="B39" s="13" t="inlineStr">
        <is>
          <t>Arabia Falcon Insurance</t>
        </is>
      </c>
      <c r="C39" s="29" t="inlineStr">
        <is>
          <t>GO</t>
        </is>
      </c>
      <c r="D39" s="13" t="n">
        <v>0.9283</v>
      </c>
      <c r="E39" s="13" t="n">
        <v>0.9817</v>
      </c>
      <c r="F39" s="13" t="n">
        <v>0.9113</v>
      </c>
      <c r="G39" s="30" t="inlineStr">
        <is>
          <t>GO</t>
        </is>
      </c>
      <c r="H39" s="13" t="inlineStr">
        <is>
          <t>No</t>
        </is>
      </c>
    </row>
    <row r="40">
      <c r="A40" s="12" t="inlineStr">
        <is>
          <t>AMAT</t>
        </is>
      </c>
      <c r="B40" s="13" t="inlineStr">
        <is>
          <t>Al Madina Takaful</t>
        </is>
      </c>
      <c r="C40" s="29" t="inlineStr">
        <is>
          <t>GO</t>
        </is>
      </c>
      <c r="D40" s="13" t="n">
        <v>0.9137999999999999</v>
      </c>
      <c r="E40" s="13" t="n">
        <v>0.9701</v>
      </c>
      <c r="F40" s="13" t="n">
        <v>0.8865</v>
      </c>
      <c r="G40" s="30" t="inlineStr">
        <is>
          <t>GO</t>
        </is>
      </c>
      <c r="H40" s="13" t="inlineStr">
        <is>
          <t>No</t>
        </is>
      </c>
    </row>
    <row r="41">
      <c r="A41" s="12" t="inlineStr">
        <is>
          <t>ORDS</t>
        </is>
      </c>
      <c r="B41" s="13" t="inlineStr">
        <is>
          <t>Ooredoo Oman</t>
        </is>
      </c>
      <c r="C41" s="29" t="inlineStr">
        <is>
          <t>GO</t>
        </is>
      </c>
      <c r="D41" s="13" t="n">
        <v>0.8888</v>
      </c>
      <c r="E41" s="13" t="n">
        <v>0.995</v>
      </c>
      <c r="F41" s="13" t="n">
        <v>0.8844</v>
      </c>
      <c r="G41" s="30" t="inlineStr">
        <is>
          <t>GO</t>
        </is>
      </c>
      <c r="H41" s="13" t="inlineStr">
        <is>
          <t>No</t>
        </is>
      </c>
    </row>
    <row r="42">
      <c r="A42" s="12" t="inlineStr">
        <is>
          <t>RCCI</t>
        </is>
      </c>
      <c r="B42" s="13" t="inlineStr">
        <is>
          <t>Raysut Cement</t>
        </is>
      </c>
      <c r="C42" s="29" t="inlineStr">
        <is>
          <t>GO</t>
        </is>
      </c>
      <c r="D42" s="13" t="n">
        <v>0.897</v>
      </c>
      <c r="E42" s="13" t="n">
        <v>0.995</v>
      </c>
      <c r="F42" s="13" t="n">
        <v>0.8925</v>
      </c>
      <c r="G42" s="30" t="inlineStr">
        <is>
          <t>GO</t>
        </is>
      </c>
      <c r="H42" s="13" t="inlineStr">
        <is>
          <t>No</t>
        </is>
      </c>
    </row>
    <row r="43">
      <c r="A43" s="12" t="inlineStr">
        <is>
          <t>UBAR</t>
        </is>
      </c>
      <c r="B43" s="13" t="inlineStr">
        <is>
          <t>Ubar Hotels and Resorts</t>
        </is>
      </c>
      <c r="C43" s="29" t="inlineStr">
        <is>
          <t>GO</t>
        </is>
      </c>
      <c r="D43" s="13" t="n">
        <v>0.8724</v>
      </c>
      <c r="E43" s="13" t="n">
        <v>0.995</v>
      </c>
      <c r="F43" s="13" t="n">
        <v>0.868</v>
      </c>
      <c r="G43" s="30" t="inlineStr">
        <is>
          <t>GO</t>
        </is>
      </c>
      <c r="H43" s="13" t="inlineStr">
        <is>
          <t>No</t>
        </is>
      </c>
    </row>
    <row r="44">
      <c r="A44" s="12" t="inlineStr">
        <is>
          <t>ORCI</t>
        </is>
      </c>
      <c r="B44" s="13" t="inlineStr">
        <is>
          <t>Oman Refreshment</t>
        </is>
      </c>
      <c r="C44" s="29" t="inlineStr">
        <is>
          <t>GO</t>
        </is>
      </c>
      <c r="D44" s="13" t="n">
        <v>0.7875</v>
      </c>
      <c r="E44" s="13" t="n">
        <v>0.995</v>
      </c>
      <c r="F44" s="13" t="n">
        <v>0.7836</v>
      </c>
      <c r="G44" s="30" t="inlineStr">
        <is>
          <t>GO</t>
        </is>
      </c>
      <c r="H44" s="13" t="inlineStr">
        <is>
          <t>No</t>
        </is>
      </c>
    </row>
    <row r="45">
      <c r="A45" s="12" t="inlineStr">
        <is>
          <t>NGCI</t>
        </is>
      </c>
      <c r="B45" s="13" t="inlineStr">
        <is>
          <t>National Gas</t>
        </is>
      </c>
      <c r="C45" s="29" t="inlineStr">
        <is>
          <t>GO</t>
        </is>
      </c>
      <c r="D45" s="13" t="n">
        <v>0.7343</v>
      </c>
      <c r="E45" s="13" t="n">
        <v>0.995</v>
      </c>
      <c r="F45" s="13" t="n">
        <v>0.7306</v>
      </c>
      <c r="G45" s="30" t="inlineStr">
        <is>
          <t>GO</t>
        </is>
      </c>
      <c r="H45" s="13" t="inlineStr">
        <is>
          <t>No</t>
        </is>
      </c>
    </row>
    <row r="46">
      <c r="A46" s="12" t="inlineStr">
        <is>
          <t>NAPI</t>
        </is>
      </c>
      <c r="B46" s="13" t="inlineStr">
        <is>
          <t>National Aluminium Products</t>
        </is>
      </c>
      <c r="C46" s="29" t="inlineStr">
        <is>
          <t>GO</t>
        </is>
      </c>
      <c r="D46" s="13" t="n">
        <v>0.6603</v>
      </c>
      <c r="E46" s="13" t="n">
        <v>0.995</v>
      </c>
      <c r="F46" s="13" t="n">
        <v>0.657</v>
      </c>
      <c r="G46" s="30" t="inlineStr">
        <is>
          <t>GO</t>
        </is>
      </c>
      <c r="H46" s="13" t="inlineStr">
        <is>
          <t>No</t>
        </is>
      </c>
    </row>
    <row r="47">
      <c r="A47" s="12" t="inlineStr">
        <is>
          <t>AFAI</t>
        </is>
      </c>
      <c r="B47" s="13" t="inlineStr">
        <is>
          <t>Al Fajar Al Alamia</t>
        </is>
      </c>
      <c r="C47" s="31" t="inlineStr">
        <is>
          <t>CONDITIONAL</t>
        </is>
      </c>
      <c r="D47" s="13" t="n">
        <v>0.5722</v>
      </c>
      <c r="E47" s="13" t="n">
        <v>0.9925</v>
      </c>
      <c r="F47" s="13" t="n">
        <v>0.5679999999999999</v>
      </c>
      <c r="G47" s="32" t="inlineStr">
        <is>
          <t>CONDITIONAL</t>
        </is>
      </c>
      <c r="H47" s="13" t="inlineStr">
        <is>
          <t>No</t>
        </is>
      </c>
    </row>
    <row r="48">
      <c r="A48" s="12" t="inlineStr">
        <is>
          <t>TAOI</t>
        </is>
      </c>
      <c r="B48" s="13" t="inlineStr">
        <is>
          <t>Takaful Oman</t>
        </is>
      </c>
      <c r="C48" s="31" t="inlineStr">
        <is>
          <t>CONDITIONAL</t>
        </is>
      </c>
      <c r="D48" s="13" t="n">
        <v>0.7845</v>
      </c>
      <c r="E48" s="13" t="n">
        <v>0.6783</v>
      </c>
      <c r="F48" s="13" t="n">
        <v>0.5322</v>
      </c>
      <c r="G48" s="32" t="inlineStr">
        <is>
          <t>CONDITIONAL</t>
        </is>
      </c>
      <c r="H48" s="13" t="inlineStr">
        <is>
          <t>No</t>
        </is>
      </c>
    </row>
    <row r="49">
      <c r="A49" s="12" t="inlineStr">
        <is>
          <t>AMCI</t>
        </is>
      </c>
      <c r="B49" s="13" t="inlineStr">
        <is>
          <t>Al Maha Ceramics</t>
        </is>
      </c>
      <c r="C49" s="33" t="inlineStr">
        <is>
          <t>NO-GO</t>
        </is>
      </c>
      <c r="D49" s="13" t="n">
        <v>0.3246</v>
      </c>
      <c r="E49" s="13" t="n">
        <v>0.6929</v>
      </c>
      <c r="F49" s="13" t="n">
        <v>0.2249</v>
      </c>
      <c r="G49" s="34" t="inlineStr">
        <is>
          <t>NO-GO</t>
        </is>
      </c>
      <c r="H49" s="13" t="inlineStr">
        <is>
          <t>No</t>
        </is>
      </c>
    </row>
    <row r="51">
      <c r="A51" s="2" t="inlineStr">
        <is>
          <t>D: Perfect Storm</t>
        </is>
      </c>
    </row>
    <row r="52">
      <c r="A52" s="4" t="inlineStr">
        <is>
          <t>Ticker</t>
        </is>
      </c>
      <c r="B52" s="4" t="inlineStr">
        <is>
          <t>Company</t>
        </is>
      </c>
      <c r="C52" s="4" t="inlineStr">
        <is>
          <t>Base Verdict</t>
        </is>
      </c>
      <c r="D52" s="4" t="inlineStr">
        <is>
          <t>Stress P(R)</t>
        </is>
      </c>
      <c r="E52" s="4" t="inlineStr">
        <is>
          <t>Stress S(5)</t>
        </is>
      </c>
      <c r="F52" s="4" t="inlineStr">
        <is>
          <t>Stress Composite</t>
        </is>
      </c>
      <c r="G52" s="4" t="inlineStr">
        <is>
          <t>Stress Verdict</t>
        </is>
      </c>
      <c r="H52" s="4" t="inlineStr">
        <is>
          <t>Changed?</t>
        </is>
      </c>
    </row>
    <row r="53">
      <c r="A53" s="12" t="inlineStr">
        <is>
          <t>SUWP</t>
        </is>
      </c>
      <c r="B53" s="13" t="inlineStr">
        <is>
          <t>Al Suwadi Power</t>
        </is>
      </c>
      <c r="C53" s="29" t="inlineStr">
        <is>
          <t>GO</t>
        </is>
      </c>
      <c r="D53" s="13" t="n">
        <v>0.9560999999999999</v>
      </c>
      <c r="E53" s="13" t="n">
        <v>0.995</v>
      </c>
      <c r="F53" s="13" t="n">
        <v>0.9513</v>
      </c>
      <c r="G53" s="30" t="inlineStr">
        <is>
          <t>GO</t>
        </is>
      </c>
      <c r="H53" s="13" t="inlineStr">
        <is>
          <t>No</t>
        </is>
      </c>
    </row>
    <row r="54">
      <c r="A54" s="12" t="inlineStr">
        <is>
          <t>BATP</t>
        </is>
      </c>
      <c r="B54" s="13" t="inlineStr">
        <is>
          <t>Al Batinah Power</t>
        </is>
      </c>
      <c r="C54" s="29" t="inlineStr">
        <is>
          <t>GO</t>
        </is>
      </c>
      <c r="D54" s="13" t="n">
        <v>0.9555</v>
      </c>
      <c r="E54" s="13" t="n">
        <v>0.995</v>
      </c>
      <c r="F54" s="13" t="n">
        <v>0.9508</v>
      </c>
      <c r="G54" s="30" t="inlineStr">
        <is>
          <t>GO</t>
        </is>
      </c>
      <c r="H54" s="13" t="inlineStr">
        <is>
          <t>No</t>
        </is>
      </c>
    </row>
    <row r="55">
      <c r="A55" s="12" t="inlineStr">
        <is>
          <t>AFIC</t>
        </is>
      </c>
      <c r="B55" s="13" t="inlineStr">
        <is>
          <t>Arabia Falcon Insurance</t>
        </is>
      </c>
      <c r="C55" s="29" t="inlineStr">
        <is>
          <t>GO</t>
        </is>
      </c>
      <c r="D55" s="13" t="n">
        <v>0.9288999999999999</v>
      </c>
      <c r="E55" s="13" t="n">
        <v>0.9651999999999999</v>
      </c>
      <c r="F55" s="13" t="n">
        <v>0.8966</v>
      </c>
      <c r="G55" s="30" t="inlineStr">
        <is>
          <t>GO</t>
        </is>
      </c>
      <c r="H55" s="13" t="inlineStr">
        <is>
          <t>No</t>
        </is>
      </c>
    </row>
    <row r="56">
      <c r="A56" s="12" t="inlineStr">
        <is>
          <t>AMAT</t>
        </is>
      </c>
      <c r="B56" s="13" t="inlineStr">
        <is>
          <t>Al Madina Takaful</t>
        </is>
      </c>
      <c r="C56" s="29" t="inlineStr">
        <is>
          <t>GO</t>
        </is>
      </c>
      <c r="D56" s="13" t="n">
        <v>0.9217</v>
      </c>
      <c r="E56" s="13" t="n">
        <v>0.9537</v>
      </c>
      <c r="F56" s="13" t="n">
        <v>0.8791</v>
      </c>
      <c r="G56" s="30" t="inlineStr">
        <is>
          <t>GO</t>
        </is>
      </c>
      <c r="H56" s="13" t="inlineStr">
        <is>
          <t>No</t>
        </is>
      </c>
    </row>
    <row r="57">
      <c r="A57" s="12" t="inlineStr">
        <is>
          <t>ORDS</t>
        </is>
      </c>
      <c r="B57" s="13" t="inlineStr">
        <is>
          <t>Ooredoo Oman</t>
        </is>
      </c>
      <c r="C57" s="29" t="inlineStr">
        <is>
          <t>GO</t>
        </is>
      </c>
      <c r="D57" s="13" t="n">
        <v>0.9189000000000001</v>
      </c>
      <c r="E57" s="13" t="n">
        <v>0.995</v>
      </c>
      <c r="F57" s="13" t="n">
        <v>0.9143</v>
      </c>
      <c r="G57" s="30" t="inlineStr">
        <is>
          <t>GO</t>
        </is>
      </c>
      <c r="H57" s="13" t="inlineStr">
        <is>
          <t>No</t>
        </is>
      </c>
    </row>
    <row r="58">
      <c r="A58" s="12" t="inlineStr">
        <is>
          <t>RCCI</t>
        </is>
      </c>
      <c r="B58" s="13" t="inlineStr">
        <is>
          <t>Raysut Cement</t>
        </is>
      </c>
      <c r="C58" s="29" t="inlineStr">
        <is>
          <t>GO</t>
        </is>
      </c>
      <c r="D58" s="13" t="n">
        <v>0.9194</v>
      </c>
      <c r="E58" s="13" t="n">
        <v>0.995</v>
      </c>
      <c r="F58" s="13" t="n">
        <v>0.9149</v>
      </c>
      <c r="G58" s="30" t="inlineStr">
        <is>
          <t>GO</t>
        </is>
      </c>
      <c r="H58" s="13" t="inlineStr">
        <is>
          <t>No</t>
        </is>
      </c>
    </row>
    <row r="59">
      <c r="A59" s="12" t="inlineStr">
        <is>
          <t>UBAR</t>
        </is>
      </c>
      <c r="B59" s="13" t="inlineStr">
        <is>
          <t>Ubar Hotels and Resorts</t>
        </is>
      </c>
      <c r="C59" s="29" t="inlineStr">
        <is>
          <t>GO</t>
        </is>
      </c>
      <c r="D59" s="13" t="n">
        <v>0.9055</v>
      </c>
      <c r="E59" s="13" t="n">
        <v>0.995</v>
      </c>
      <c r="F59" s="13" t="n">
        <v>0.9009</v>
      </c>
      <c r="G59" s="30" t="inlineStr">
        <is>
          <t>GO</t>
        </is>
      </c>
      <c r="H59" s="13" t="inlineStr">
        <is>
          <t>No</t>
        </is>
      </c>
    </row>
    <row r="60">
      <c r="A60" s="12" t="inlineStr">
        <is>
          <t>ORCI</t>
        </is>
      </c>
      <c r="B60" s="13" t="inlineStr">
        <is>
          <t>Oman Refreshment</t>
        </is>
      </c>
      <c r="C60" s="29" t="inlineStr">
        <is>
          <t>GO</t>
        </is>
      </c>
      <c r="D60" s="13" t="n">
        <v>0.8881</v>
      </c>
      <c r="E60" s="13" t="n">
        <v>0.995</v>
      </c>
      <c r="F60" s="13" t="n">
        <v>0.8837</v>
      </c>
      <c r="G60" s="30" t="inlineStr">
        <is>
          <t>GO</t>
        </is>
      </c>
      <c r="H60" s="13" t="inlineStr">
        <is>
          <t>No</t>
        </is>
      </c>
    </row>
    <row r="61">
      <c r="A61" s="12" t="inlineStr">
        <is>
          <t>NGCI</t>
        </is>
      </c>
      <c r="B61" s="13" t="inlineStr">
        <is>
          <t>National Gas</t>
        </is>
      </c>
      <c r="C61" s="29" t="inlineStr">
        <is>
          <t>GO</t>
        </is>
      </c>
      <c r="D61" s="13" t="n">
        <v>0.8621</v>
      </c>
      <c r="E61" s="13" t="n">
        <v>0.995</v>
      </c>
      <c r="F61" s="13" t="n">
        <v>0.8578</v>
      </c>
      <c r="G61" s="30" t="inlineStr">
        <is>
          <t>GO</t>
        </is>
      </c>
      <c r="H61" s="13" t="inlineStr">
        <is>
          <t>No</t>
        </is>
      </c>
    </row>
    <row r="62">
      <c r="A62" s="12" t="inlineStr">
        <is>
          <t>NAPI</t>
        </is>
      </c>
      <c r="B62" s="13" t="inlineStr">
        <is>
          <t>National Aluminium Products</t>
        </is>
      </c>
      <c r="C62" s="29" t="inlineStr">
        <is>
          <t>GO</t>
        </is>
      </c>
      <c r="D62" s="13" t="n">
        <v>0.8120000000000001</v>
      </c>
      <c r="E62" s="13" t="n">
        <v>0.995</v>
      </c>
      <c r="F62" s="13" t="n">
        <v>0.8080000000000001</v>
      </c>
      <c r="G62" s="30" t="inlineStr">
        <is>
          <t>GO</t>
        </is>
      </c>
      <c r="H62" s="13" t="inlineStr">
        <is>
          <t>No</t>
        </is>
      </c>
    </row>
    <row r="63">
      <c r="A63" s="12" t="inlineStr">
        <is>
          <t>AFAI</t>
        </is>
      </c>
      <c r="B63" s="13" t="inlineStr">
        <is>
          <t>Al Fajar Al Alamia</t>
        </is>
      </c>
      <c r="C63" s="31" t="inlineStr">
        <is>
          <t>CONDITIONAL</t>
        </is>
      </c>
      <c r="D63" s="13" t="n">
        <v>0.7754</v>
      </c>
      <c r="E63" s="13" t="n">
        <v>0.9947</v>
      </c>
      <c r="F63" s="13" t="n">
        <v>0.7713</v>
      </c>
      <c r="G63" s="30" t="inlineStr">
        <is>
          <t>GO</t>
        </is>
      </c>
      <c r="H63" s="35" t="inlineStr">
        <is>
          <t>YES</t>
        </is>
      </c>
    </row>
    <row r="64">
      <c r="A64" s="12" t="inlineStr">
        <is>
          <t>TAOI</t>
        </is>
      </c>
      <c r="B64" s="13" t="inlineStr">
        <is>
          <t>Takaful Oman</t>
        </is>
      </c>
      <c r="C64" s="31" t="inlineStr">
        <is>
          <t>CONDITIONAL</t>
        </is>
      </c>
      <c r="D64" s="13" t="n">
        <v>0.8727</v>
      </c>
      <c r="E64" s="13" t="n">
        <v>0.8856000000000001</v>
      </c>
      <c r="F64" s="13" t="n">
        <v>0.7729</v>
      </c>
      <c r="G64" s="30" t="inlineStr">
        <is>
          <t>GO</t>
        </is>
      </c>
      <c r="H64" s="35" t="inlineStr">
        <is>
          <t>YES</t>
        </is>
      </c>
    </row>
    <row r="65">
      <c r="A65" s="12" t="inlineStr">
        <is>
          <t>AMCI</t>
        </is>
      </c>
      <c r="B65" s="13" t="inlineStr">
        <is>
          <t>Al Maha Ceramics</t>
        </is>
      </c>
      <c r="C65" s="33" t="inlineStr">
        <is>
          <t>NO-GO</t>
        </is>
      </c>
      <c r="D65" s="13" t="n">
        <v>0.6941000000000001</v>
      </c>
      <c r="E65" s="13" t="n">
        <v>0.7771</v>
      </c>
      <c r="F65" s="13" t="n">
        <v>0.5394</v>
      </c>
      <c r="G65" s="32" t="inlineStr">
        <is>
          <t>CONDITIONAL</t>
        </is>
      </c>
      <c r="H65" s="35" t="inlineStr">
        <is>
          <t>YES</t>
        </is>
      </c>
    </row>
  </sheetData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45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Sector-Level Aggregate Analysis</t>
        </is>
      </c>
    </row>
    <row r="3">
      <c r="A3" s="4" t="inlineStr">
        <is>
          <t>Sector</t>
        </is>
      </c>
      <c r="B3" s="4" t="inlineStr">
        <is>
          <t># Companies</t>
        </is>
      </c>
      <c r="C3" s="4" t="inlineStr">
        <is>
          <t>Avg Z Score</t>
        </is>
      </c>
      <c r="D3" s="4" t="inlineStr">
        <is>
          <t>Avg P(Recovery)</t>
        </is>
      </c>
      <c r="E3" s="4" t="inlineStr">
        <is>
          <t>Avg S(5)</t>
        </is>
      </c>
      <c r="F3" s="4" t="inlineStr">
        <is>
          <t>Avg Composite V3</t>
        </is>
      </c>
      <c r="G3" s="4" t="inlineStr">
        <is>
          <t>GO Count</t>
        </is>
      </c>
      <c r="H3" s="4" t="inlineStr">
        <is>
          <t>CONDITIONAL Count</t>
        </is>
      </c>
      <c r="I3" s="4" t="inlineStr">
        <is>
          <t>NO-GO Count</t>
        </is>
      </c>
      <c r="J3" s="4" t="inlineStr">
        <is>
          <t>Pass Rate</t>
        </is>
      </c>
    </row>
    <row r="4">
      <c r="A4" s="6" t="inlineStr">
        <is>
          <t>Financial</t>
        </is>
      </c>
      <c r="B4" s="5" t="n">
        <v>3</v>
      </c>
      <c r="C4" s="5" t="n">
        <v>2.2118</v>
      </c>
      <c r="D4" s="5" t="n">
        <v>0.8811</v>
      </c>
      <c r="E4" s="5" t="n">
        <v>0.8802</v>
      </c>
      <c r="F4" s="6" t="n">
        <v>0.7882</v>
      </c>
      <c r="G4" s="5" t="n">
        <v>2</v>
      </c>
      <c r="H4" s="5" t="n">
        <v>1</v>
      </c>
      <c r="I4" s="5" t="n">
        <v>0</v>
      </c>
      <c r="J4" s="6" t="inlineStr">
        <is>
          <t>100.0%</t>
        </is>
      </c>
    </row>
    <row r="5">
      <c r="A5" s="6" t="inlineStr">
        <is>
          <t>Industrial</t>
        </is>
      </c>
      <c r="B5" s="5" t="n">
        <v>5</v>
      </c>
      <c r="C5" s="5" t="n">
        <v>0.7723</v>
      </c>
      <c r="D5" s="5" t="n">
        <v>0.6496</v>
      </c>
      <c r="E5" s="5" t="n">
        <v>0.9844000000000001</v>
      </c>
      <c r="F5" s="6" t="n">
        <v>0.6431</v>
      </c>
      <c r="G5" s="5" t="n">
        <v>3</v>
      </c>
      <c r="H5" s="5" t="n">
        <v>1</v>
      </c>
      <c r="I5" s="5" t="n">
        <v>1</v>
      </c>
      <c r="J5" s="6" t="inlineStr">
        <is>
          <t>80.0%</t>
        </is>
      </c>
    </row>
    <row r="6">
      <c r="A6" s="6" t="inlineStr">
        <is>
          <t>Services</t>
        </is>
      </c>
      <c r="B6" s="5" t="n">
        <v>5</v>
      </c>
      <c r="C6" s="5" t="n">
        <v>2.4374</v>
      </c>
      <c r="D6" s="5" t="n">
        <v>0.8928</v>
      </c>
      <c r="E6" s="5" t="n">
        <v>0.995</v>
      </c>
      <c r="F6" s="6" t="n">
        <v>0.8883</v>
      </c>
      <c r="G6" s="5" t="n">
        <v>5</v>
      </c>
      <c r="H6" s="5" t="n">
        <v>0</v>
      </c>
      <c r="I6" s="5" t="n">
        <v>0</v>
      </c>
      <c r="J6" s="6" t="inlineStr">
        <is>
          <t>100.0%</t>
        </is>
      </c>
    </row>
    <row r="7">
      <c r="A7" s="6" t="inlineStr">
        <is>
          <t>TOTAL</t>
        </is>
      </c>
      <c r="B7" s="6" t="n">
        <v>13</v>
      </c>
      <c r="C7" s="6" t="n">
        <v>1.745</v>
      </c>
      <c r="D7" s="6" t="n">
        <v>0.7965</v>
      </c>
      <c r="E7" s="6" t="n">
        <v>0.9645</v>
      </c>
      <c r="F7" s="6" t="n">
        <v>0.7709</v>
      </c>
      <c r="G7" s="6" t="n">
        <v>10</v>
      </c>
      <c r="H7" s="6" t="n">
        <v>2</v>
      </c>
      <c r="I7" s="6" t="n">
        <v>1</v>
      </c>
      <c r="J7" s="6" t="inlineStr">
        <is>
          <t>92.3%</t>
        </is>
      </c>
    </row>
    <row r="10">
      <c r="A10" s="2" t="inlineStr">
        <is>
          <t>Financial Sector — Company Details</t>
        </is>
      </c>
    </row>
    <row r="11">
      <c r="A11" s="4" t="inlineStr">
        <is>
          <t>Ticker</t>
        </is>
      </c>
      <c r="B11" s="4" t="inlineStr">
        <is>
          <t>Company</t>
        </is>
      </c>
      <c r="C11" s="4" t="inlineStr">
        <is>
          <t>Composite V3</t>
        </is>
      </c>
      <c r="D11" s="4" t="inlineStr">
        <is>
          <t>Verdict</t>
        </is>
      </c>
      <c r="E11" s="4" t="inlineStr">
        <is>
          <t>Net Profit FY24</t>
        </is>
      </c>
      <c r="F11" s="4" t="inlineStr">
        <is>
          <t>YoY Change</t>
        </is>
      </c>
      <c r="G11" s="4" t="inlineStr">
        <is>
          <t>Distress Flags</t>
        </is>
      </c>
    </row>
    <row r="12">
      <c r="A12" s="12" t="inlineStr">
        <is>
          <t>AFIC</t>
        </is>
      </c>
      <c r="B12" s="13" t="inlineStr">
        <is>
          <t>Arabia Falcon Insurance</t>
        </is>
      </c>
      <c r="C12" s="12" t="n">
        <v>0.9384</v>
      </c>
      <c r="D12" s="29" t="inlineStr">
        <is>
          <t>GO</t>
        </is>
      </c>
      <c r="E12" s="13" t="n">
        <v>2.105</v>
      </c>
      <c r="F12" s="13" t="inlineStr">
        <is>
          <t>-47.8%</t>
        </is>
      </c>
      <c r="G12" s="36" t="inlineStr">
        <is>
          <t>None</t>
        </is>
      </c>
    </row>
    <row r="13">
      <c r="A13" s="12" t="inlineStr">
        <is>
          <t>AMAT</t>
        </is>
      </c>
      <c r="B13" s="13" t="inlineStr">
        <is>
          <t>Al Madina Takaful</t>
        </is>
      </c>
      <c r="C13" s="12" t="n">
        <v>0.9214</v>
      </c>
      <c r="D13" s="29" t="inlineStr">
        <is>
          <t>GO</t>
        </is>
      </c>
      <c r="E13" s="13" t="n">
        <v>1.402</v>
      </c>
      <c r="F13" s="13" t="inlineStr">
        <is>
          <t>9.8%</t>
        </is>
      </c>
      <c r="G13" s="36" t="inlineStr">
        <is>
          <t>None</t>
        </is>
      </c>
    </row>
    <row r="14">
      <c r="A14" s="12" t="inlineStr">
        <is>
          <t>TAOI</t>
        </is>
      </c>
      <c r="B14" s="13" t="inlineStr">
        <is>
          <t>Takaful Oman</t>
        </is>
      </c>
      <c r="C14" s="12" t="n">
        <v>0.5047</v>
      </c>
      <c r="D14" s="31" t="inlineStr">
        <is>
          <t>CONDITIONAL</t>
        </is>
      </c>
      <c r="E14" s="13" t="n">
        <v>-1.03</v>
      </c>
      <c r="F14" s="13" t="inlineStr">
        <is>
          <t>-21.2%</t>
        </is>
      </c>
      <c r="G14" s="36" t="inlineStr">
        <is>
          <t>Negative Retained Earnings; Negative EBITDA; Negative Operating CF</t>
        </is>
      </c>
    </row>
    <row r="16">
      <c r="A16" s="2" t="inlineStr">
        <is>
          <t>Industrial Sector — Company Details</t>
        </is>
      </c>
    </row>
    <row r="17">
      <c r="A17" s="4" t="inlineStr">
        <is>
          <t>Ticker</t>
        </is>
      </c>
      <c r="B17" s="4" t="inlineStr">
        <is>
          <t>Company</t>
        </is>
      </c>
      <c r="C17" s="4" t="inlineStr">
        <is>
          <t>Composite V3</t>
        </is>
      </c>
      <c r="D17" s="4" t="inlineStr">
        <is>
          <t>Verdict</t>
        </is>
      </c>
      <c r="E17" s="4" t="inlineStr">
        <is>
          <t>Net Profit FY24</t>
        </is>
      </c>
      <c r="F17" s="4" t="inlineStr">
        <is>
          <t>YoY Change</t>
        </is>
      </c>
      <c r="G17" s="4" t="inlineStr">
        <is>
          <t>Distress Flags</t>
        </is>
      </c>
    </row>
    <row r="18">
      <c r="A18" s="12" t="inlineStr">
        <is>
          <t>RCCI</t>
        </is>
      </c>
      <c r="B18" s="13" t="inlineStr">
        <is>
          <t>Raysut Cement</t>
        </is>
      </c>
      <c r="C18" s="12" t="n">
        <v>0.9074</v>
      </c>
      <c r="D18" s="29" t="inlineStr">
        <is>
          <t>GO</t>
        </is>
      </c>
      <c r="E18" s="13" t="n">
        <v>-7.911</v>
      </c>
      <c r="F18" s="13" t="inlineStr">
        <is>
          <t>55.8%</t>
        </is>
      </c>
      <c r="G18" s="36" t="inlineStr">
        <is>
          <t>Negative Retained Earnings; Negative Working Capital; FY2024 Net Loss</t>
        </is>
      </c>
    </row>
    <row r="19">
      <c r="A19" s="12" t="inlineStr">
        <is>
          <t>ORCI</t>
        </is>
      </c>
      <c r="B19" s="13" t="inlineStr">
        <is>
          <t>Oman Refreshment</t>
        </is>
      </c>
      <c r="C19" s="12" t="n">
        <v>0.7962</v>
      </c>
      <c r="D19" s="29" t="inlineStr">
        <is>
          <t>GO</t>
        </is>
      </c>
      <c r="E19" s="13" t="n">
        <v>-3.589</v>
      </c>
      <c r="F19" s="13" t="inlineStr">
        <is>
          <t>-156.8%</t>
        </is>
      </c>
      <c r="G19" s="36" t="inlineStr">
        <is>
          <t>Negative Retained Earnings; Negative EBITDA; Negative Working Capital</t>
        </is>
      </c>
    </row>
    <row r="20">
      <c r="A20" s="12" t="inlineStr">
        <is>
          <t>NAPI</t>
        </is>
      </c>
      <c r="B20" s="13" t="inlineStr">
        <is>
          <t>National Aluminium Products</t>
        </is>
      </c>
      <c r="C20" s="12" t="n">
        <v>0.67</v>
      </c>
      <c r="D20" s="29" t="inlineStr">
        <is>
          <t>GO</t>
        </is>
      </c>
      <c r="E20" s="13" t="n">
        <v>-1.438</v>
      </c>
      <c r="F20" s="13" t="inlineStr">
        <is>
          <t>-61.3%</t>
        </is>
      </c>
      <c r="G20" s="36" t="inlineStr">
        <is>
          <t>Negative Retained Earnings; Negative EBITDA; Negative Working Capital</t>
        </is>
      </c>
    </row>
    <row r="21">
      <c r="A21" s="12" t="inlineStr">
        <is>
          <t>AFAI</t>
        </is>
      </c>
      <c r="B21" s="13" t="inlineStr">
        <is>
          <t>Al Fajar Al Alamia</t>
        </is>
      </c>
      <c r="C21" s="12" t="n">
        <v>0.5468</v>
      </c>
      <c r="D21" s="31" t="inlineStr">
        <is>
          <t>CONDITIONAL</t>
        </is>
      </c>
      <c r="E21" s="13" t="n">
        <v>-3.612</v>
      </c>
      <c r="F21" s="13" t="inlineStr">
        <is>
          <t>-40.6%</t>
        </is>
      </c>
      <c r="G21" s="36" t="inlineStr">
        <is>
          <t>Negative Retained Earnings; Negative EBITDA; Negative Working Capital</t>
        </is>
      </c>
    </row>
    <row r="22">
      <c r="A22" s="12" t="inlineStr">
        <is>
          <t>AMCI</t>
        </is>
      </c>
      <c r="B22" s="13" t="inlineStr">
        <is>
          <t>Al Maha Ceramics</t>
        </is>
      </c>
      <c r="C22" s="12" t="n">
        <v>0.2949</v>
      </c>
      <c r="D22" s="33" t="inlineStr">
        <is>
          <t>NO-GO</t>
        </is>
      </c>
      <c r="E22" s="13" t="n">
        <v>-1.571</v>
      </c>
      <c r="F22" s="13" t="inlineStr">
        <is>
          <t>40.1%</t>
        </is>
      </c>
      <c r="G22" s="36" t="inlineStr">
        <is>
          <t>Negative Retained Earnings; Negative EBITDA; Negative Working Capital</t>
        </is>
      </c>
    </row>
    <row r="24">
      <c r="A24" s="2" t="inlineStr">
        <is>
          <t>Services Sector — Company Details</t>
        </is>
      </c>
    </row>
    <row r="25">
      <c r="A25" s="4" t="inlineStr">
        <is>
          <t>Ticker</t>
        </is>
      </c>
      <c r="B25" s="4" t="inlineStr">
        <is>
          <t>Company</t>
        </is>
      </c>
      <c r="C25" s="4" t="inlineStr">
        <is>
          <t>Composite V3</t>
        </is>
      </c>
      <c r="D25" s="4" t="inlineStr">
        <is>
          <t>Verdict</t>
        </is>
      </c>
      <c r="E25" s="4" t="inlineStr">
        <is>
          <t>Net Profit FY24</t>
        </is>
      </c>
      <c r="F25" s="4" t="inlineStr">
        <is>
          <t>YoY Change</t>
        </is>
      </c>
      <c r="G25" s="4" t="inlineStr">
        <is>
          <t>Distress Flags</t>
        </is>
      </c>
    </row>
    <row r="26">
      <c r="A26" s="12" t="inlineStr">
        <is>
          <t>SUWP</t>
        </is>
      </c>
      <c r="B26" s="13" t="inlineStr">
        <is>
          <t>Al Suwadi Power</t>
        </is>
      </c>
      <c r="C26" s="12" t="n">
        <v>0.9626</v>
      </c>
      <c r="D26" s="29" t="inlineStr">
        <is>
          <t>GO</t>
        </is>
      </c>
      <c r="E26" s="13" t="n">
        <v>14.602</v>
      </c>
      <c r="F26" s="13" t="inlineStr">
        <is>
          <t>0.5%</t>
        </is>
      </c>
      <c r="G26" s="36" t="inlineStr">
        <is>
          <t>Negative Working Capital</t>
        </is>
      </c>
    </row>
    <row r="27">
      <c r="A27" s="12" t="inlineStr">
        <is>
          <t>BATP</t>
        </is>
      </c>
      <c r="B27" s="13" t="inlineStr">
        <is>
          <t>Al Batinah Power</t>
        </is>
      </c>
      <c r="C27" s="12" t="n">
        <v>0.9623</v>
      </c>
      <c r="D27" s="29" t="inlineStr">
        <is>
          <t>GO</t>
        </is>
      </c>
      <c r="E27" s="13" t="n">
        <v>14.102</v>
      </c>
      <c r="F27" s="13" t="inlineStr">
        <is>
          <t>11.0%</t>
        </is>
      </c>
      <c r="G27" s="36" t="inlineStr">
        <is>
          <t>Negative Working Capital</t>
        </is>
      </c>
    </row>
    <row r="28">
      <c r="A28" s="12" t="inlineStr">
        <is>
          <t>ORDS</t>
        </is>
      </c>
      <c r="B28" s="13" t="inlineStr">
        <is>
          <t>Ooredoo Oman</t>
        </is>
      </c>
      <c r="C28" s="12" t="n">
        <v>0.9108000000000001</v>
      </c>
      <c r="D28" s="29" t="inlineStr">
        <is>
          <t>GO</t>
        </is>
      </c>
      <c r="E28" s="13" t="n">
        <v>-3.029</v>
      </c>
      <c r="F28" s="13" t="inlineStr">
        <is>
          <t>-128.3%</t>
        </is>
      </c>
      <c r="G28" s="36" t="inlineStr">
        <is>
          <t>Negative Retained Earnings; Negative Working Capital; FY2024 Net Loss</t>
        </is>
      </c>
    </row>
    <row r="29">
      <c r="A29" s="12" t="inlineStr">
        <is>
          <t>UBAR</t>
        </is>
      </c>
      <c r="B29" s="13" t="inlineStr">
        <is>
          <t>Ubar Hotels and Resorts</t>
        </is>
      </c>
      <c r="C29" s="12" t="n">
        <v>0.8814</v>
      </c>
      <c r="D29" s="29" t="inlineStr">
        <is>
          <t>GO</t>
        </is>
      </c>
      <c r="E29" s="13" t="n">
        <v>-1.114</v>
      </c>
      <c r="F29" s="13" t="inlineStr">
        <is>
          <t>28.5%</t>
        </is>
      </c>
      <c r="G29" s="36" t="inlineStr">
        <is>
          <t>Negative Retained Earnings; Negative EBITDA; Negative Working Capital</t>
        </is>
      </c>
    </row>
    <row r="30">
      <c r="A30" s="12" t="inlineStr">
        <is>
          <t>NGCI</t>
        </is>
      </c>
      <c r="B30" s="13" t="inlineStr">
        <is>
          <t>National Gas</t>
        </is>
      </c>
      <c r="C30" s="12" t="n">
        <v>0.7244</v>
      </c>
      <c r="D30" s="29" t="inlineStr">
        <is>
          <t>GO</t>
        </is>
      </c>
      <c r="E30" s="13" t="n">
        <v>-7.91</v>
      </c>
      <c r="F30" s="13" t="inlineStr">
        <is>
          <t>2827.5%</t>
        </is>
      </c>
      <c r="G30" s="36" t="inlineStr">
        <is>
          <t>Negative Retained Earnings; Negative EBITDA; Negative Working Capital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2026-04-17T11:27:39Z</dcterms:created>
  <dcterms:modified xmlns:dcterms="http://purl.org/dc/terms/" xmlns:xsi="http://www.w3.org/2001/XMLSchema-instance" xsi:type="dcterms:W3CDTF">2026-04-17T11:27:39Z</dcterms:modified>
</cp:coreProperties>
</file>