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I LBO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_);\(#,##0.0\);&quot;--&quot;_)"/>
    <numFmt numFmtId="165" formatCode="0.0%_);\(0.0%\);&quot;--%&quot;_);* @_)"/>
    <numFmt numFmtId="166" formatCode="0.0\x;&quot;nm&quot;_x;&quot;nm&quot;_x;* @_x"/>
  </numFmts>
  <fonts count="9">
    <font>
      <name val="Calibri"/>
      <family val="2"/>
      <color theme="1"/>
      <sz val="11"/>
      <scheme val="minor"/>
    </font>
    <font>
      <name val="Helvetica"/>
      <b val="1"/>
      <color rgb="00FFFFFF"/>
      <sz val="8"/>
    </font>
    <font>
      <name val="Helvetica"/>
      <i val="1"/>
      <color rgb="00C9A843"/>
      <sz val="8"/>
    </font>
    <font>
      <name val="Helvetica"/>
      <b val="1"/>
      <color rgb="0053565A"/>
      <sz val="8"/>
    </font>
    <font>
      <name val="Helvetica"/>
      <color rgb="0053565A"/>
      <sz val="8"/>
    </font>
    <font>
      <name val="Helvetica"/>
      <color rgb="000000FF"/>
      <sz val="8"/>
    </font>
    <font>
      <name val="Helvetica"/>
      <b val="1"/>
      <color rgb="00CC0033"/>
      <sz val="8"/>
    </font>
    <font>
      <name val="Helvetica"/>
      <i val="1"/>
      <color rgb="00C9A843"/>
      <sz val="7"/>
    </font>
    <font>
      <name val="Helvetica"/>
      <i val="1"/>
      <color rgb="0053565A"/>
      <sz val="7"/>
    </font>
  </fonts>
  <fills count="5">
    <fill>
      <patternFill/>
    </fill>
    <fill>
      <patternFill patternType="gray125"/>
    </fill>
    <fill>
      <patternFill patternType="solid">
        <fgColor rgb="000F1D40"/>
        <bgColor rgb="000F1D40"/>
      </patternFill>
    </fill>
    <fill>
      <patternFill patternType="solid">
        <fgColor rgb="00E6EBF6"/>
        <bgColor rgb="00E6EBF6"/>
      </patternFill>
    </fill>
    <fill>
      <patternFill patternType="solid">
        <fgColor rgb="002A8ABF"/>
        <bgColor rgb="002A8A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164" fontId="1" fillId="2" borderId="0" pivotButton="0" quotePrefix="0" xfId="0"/>
    <xf numFmtId="0" fontId="0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5" fillId="3" borderId="0" pivotButton="0" quotePrefix="0" xfId="0"/>
    <xf numFmtId="166" fontId="5" fillId="3" borderId="0" pivotButton="0" quotePrefix="0" xfId="0"/>
    <xf numFmtId="165" fontId="5" fillId="3" borderId="0" pivotButton="0" quotePrefix="0" xfId="0"/>
    <xf numFmtId="164" fontId="4" fillId="3" borderId="0" pivotButton="0" quotePrefix="0" xfId="0"/>
    <xf numFmtId="164" fontId="3" fillId="3" borderId="0" pivotButton="0" quotePrefix="0" xfId="0"/>
    <xf numFmtId="166" fontId="3" fillId="3" borderId="0" pivotButton="0" quotePrefix="0" xfId="0"/>
    <xf numFmtId="165" fontId="5" fillId="0" borderId="0" pivotButton="0" quotePrefix="0" xfId="0"/>
    <xf numFmtId="165" fontId="4" fillId="3" borderId="0" pivotButton="0" quotePrefix="0" xfId="0"/>
    <xf numFmtId="164" fontId="1" fillId="4" borderId="0" pivotButton="0" quotePrefix="0" xfId="0"/>
    <xf numFmtId="0" fontId="0" fillId="4" borderId="0" pivotButton="0" quotePrefix="0" xfId="0"/>
    <xf numFmtId="166" fontId="4" fillId="3" borderId="0" pivotButton="0" quotePrefix="0" xfId="0"/>
    <xf numFmtId="165" fontId="4" fillId="0" borderId="0" pivotButton="0" quotePrefix="0" xfId="0"/>
    <xf numFmtId="164" fontId="5" fillId="0" borderId="0" pivotButton="0" quotePrefix="0" xfId="0"/>
    <xf numFmtId="165" fontId="3" fillId="3" borderId="0" pivotButton="0" quotePrefix="0" xfId="0"/>
    <xf numFmtId="164" fontId="6" fillId="0" borderId="0" pivotButton="0" quotePrefix="0" xfId="0"/>
    <xf numFmtId="164" fontId="6" fillId="3" borderId="0" pivotButton="0" quotePrefix="0" xfId="0"/>
    <xf numFmtId="166" fontId="4" fillId="0" borderId="0" pivotButton="0" quotePrefix="0" xfId="0"/>
    <xf numFmtId="166" fontId="1" fillId="4" borderId="0" pivotButton="0" quotePrefix="0" xfId="0"/>
    <xf numFmtId="164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R217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  <col width="20" customWidth="1" min="4" max="4"/>
    <col width="12" customWidth="1" min="5" max="5"/>
    <col width="10" customWidth="1" min="6" max="6"/>
    <col width="10" customWidth="1" min="7" max="7"/>
    <col width="22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2" customWidth="1" min="19" max="19"/>
    <col width="11" customWidth="1" min="20" max="20"/>
  </cols>
  <sheetData>
    <row r="4">
      <c r="B4" s="1" t="inlineStr">
        <is>
          <t>ALiF Private Equity — NPI Rescue LBO Model (Loan-to-Own)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C5" s="3" t="inlineStr">
        <is>
          <t>Powered by MURSHIDI Ai — Solving Patterns, Revealing Value</t>
        </is>
      </c>
    </row>
    <row r="6">
      <c r="B6" s="1" t="inlineStr">
        <is>
          <t>Base Inputs &amp; Controls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1" t="inlineStr">
        <is>
          <t>OMR '000</t>
        </is>
      </c>
      <c r="M6" s="2" t="n"/>
      <c r="N6" s="2" t="n"/>
      <c r="O6" s="2" t="n"/>
      <c r="P6" s="2" t="n"/>
      <c r="Q6" s="2" t="n"/>
      <c r="R6" s="2" t="n"/>
    </row>
    <row r="8">
      <c r="C8" s="4" t="inlineStr">
        <is>
          <t>Acquisition Assumptions</t>
        </is>
      </c>
      <c r="H8" s="4" t="inlineStr">
        <is>
          <t>Exit &amp; Financing Assumptions</t>
        </is>
      </c>
      <c r="N8" s="4" t="inlineStr">
        <is>
          <t>Notes</t>
        </is>
      </c>
    </row>
    <row r="9">
      <c r="C9" s="5" t="inlineStr">
        <is>
          <t>Face value of bank debt acquired</t>
        </is>
      </c>
      <c r="E9" s="6" t="n">
        <v>20314.9</v>
      </c>
      <c r="H9" s="5" t="inlineStr">
        <is>
          <t>Exit EV/EBITDA multiple</t>
        </is>
      </c>
      <c r="L9" s="7" t="n">
        <v>6</v>
      </c>
      <c r="N9" s="5" t="inlineStr">
        <is>
          <t>1. ALiF Rescue LBO for NPI (private pharma, Oman)</t>
        </is>
      </c>
    </row>
    <row r="10">
      <c r="C10" s="5" t="inlineStr">
        <is>
          <t>SRFF-I Expected Loss haircut</t>
        </is>
      </c>
      <c r="E10" s="8" t="n">
        <v>0.2746</v>
      </c>
      <c r="H10" s="5" t="inlineStr">
        <is>
          <t>Entry LTM EBITDA (2024)</t>
        </is>
      </c>
      <c r="L10" s="9">
        <f>H42</f>
        <v/>
      </c>
      <c r="N10" s="5" t="inlineStr">
        <is>
          <t>2. Debt acquired at 27.46% haircut per SRFF-I v4.0</t>
        </is>
      </c>
    </row>
    <row r="11">
      <c r="C11" s="4" t="inlineStr">
        <is>
          <t>Debt acquisition price</t>
        </is>
      </c>
      <c r="E11" s="10">
        <f>E9*(1-E10)</f>
        <v/>
      </c>
      <c r="H11" s="4" t="inlineStr">
        <is>
          <t>Entry EV (Debt Acq + Rescue)</t>
        </is>
      </c>
      <c r="L11" s="10">
        <f>E16</f>
        <v/>
      </c>
      <c r="N11" s="5" t="inlineStr">
        <is>
          <t>3. OMR 12.8M debt→equity; OMR 7.5M retained senior</t>
        </is>
      </c>
    </row>
    <row r="12">
      <c r="C12" s="5" t="inlineStr">
        <is>
          <t>Tax rate (Oman)</t>
        </is>
      </c>
      <c r="E12" s="8" t="n">
        <v>0.15</v>
      </c>
      <c r="H12" s="4" t="inlineStr">
        <is>
          <t>Entry EV/EBITDA Multiple</t>
        </is>
      </c>
      <c r="L12" s="11">
        <f>IFERROR(L11/L10,"nm")</f>
        <v/>
      </c>
      <c r="N12" s="5" t="inlineStr">
        <is>
          <t>4. Fresh OMR 2.5M super-senior rescue tranche</t>
        </is>
      </c>
    </row>
    <row r="13">
      <c r="C13" s="5" t="inlineStr">
        <is>
          <t>Debt converted to equity</t>
        </is>
      </c>
      <c r="E13" s="6" t="n">
        <v>12814.9</v>
      </c>
      <c r="H13" s="5" t="inlineStr">
        <is>
          <t>Base reference rate (Oman)</t>
        </is>
      </c>
      <c r="L13" s="12" t="n">
        <v>0.045</v>
      </c>
      <c r="N13" s="5" t="inlineStr">
        <is>
          <t>5. ALiF 80% / Family 20% post-restructuring</t>
        </is>
      </c>
    </row>
    <row r="14">
      <c r="C14" s="4" t="inlineStr">
        <is>
          <t>Debt retained as senior loan</t>
        </is>
      </c>
      <c r="E14" s="10">
        <f>E9-E13</f>
        <v/>
      </c>
      <c r="H14" s="5" t="inlineStr">
        <is>
          <t>Debt issuance fees (% debt)</t>
        </is>
      </c>
      <c r="L14" s="12" t="n">
        <v>0.02</v>
      </c>
      <c r="N14" s="5" t="inlineStr">
        <is>
          <t>6. Post-restr. debt: 10.0M (vs 20.3M pre-restr.)</t>
        </is>
      </c>
    </row>
    <row r="15">
      <c r="C15" s="5" t="inlineStr">
        <is>
          <t>Super-senior rescue tranche (new $)</t>
        </is>
      </c>
      <c r="E15" s="6" t="n">
        <v>2500</v>
      </c>
      <c r="H15" s="5" t="inlineStr">
        <is>
          <t>Advisory fees (% acq price)</t>
        </is>
      </c>
      <c r="L15" s="12" t="n">
        <v>0.02</v>
      </c>
    </row>
    <row r="16">
      <c r="C16" s="4" t="inlineStr">
        <is>
          <t>Total ALiF cash investment</t>
        </is>
      </c>
      <c r="E16" s="10">
        <f>E11+E15</f>
        <v/>
      </c>
      <c r="H16" s="5" t="inlineStr">
        <is>
          <t>Circularity breaker</t>
        </is>
      </c>
      <c r="L16" s="6" t="n">
        <v>0</v>
      </c>
    </row>
    <row r="17">
      <c r="C17" s="5" t="inlineStr">
        <is>
          <t>ALiF ownership %</t>
        </is>
      </c>
      <c r="E17" s="8" t="n">
        <v>0.8</v>
      </c>
    </row>
    <row r="18">
      <c r="C18" s="5" t="inlineStr">
        <is>
          <t>Family ownership %</t>
        </is>
      </c>
      <c r="E18" s="13">
        <f>1-E17</f>
        <v/>
      </c>
    </row>
    <row r="20">
      <c r="B20" s="1" t="inlineStr">
        <is>
          <t>Sources &amp; Uses of Funds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2">
      <c r="C22" s="14" t="inlineStr">
        <is>
          <t>Uses of Funds</t>
        </is>
      </c>
      <c r="D22" s="15" t="n"/>
      <c r="E22" s="14" t="inlineStr">
        <is>
          <t>OMR '000</t>
        </is>
      </c>
      <c r="F22" s="15" t="n"/>
      <c r="G22" s="14" t="inlineStr">
        <is>
          <t>Sources of Funds</t>
        </is>
      </c>
      <c r="H22" s="15" t="n"/>
      <c r="I22" s="15" t="n"/>
      <c r="J22" s="14" t="inlineStr">
        <is>
          <t>OMR '000</t>
        </is>
      </c>
      <c r="K22" s="14" t="inlineStr">
        <is>
          <t>xEBITDA</t>
        </is>
      </c>
      <c r="L22" s="14" t="inlineStr">
        <is>
          <t>% Total</t>
        </is>
      </c>
      <c r="M22" s="14" t="inlineStr">
        <is>
          <t>Facility</t>
        </is>
      </c>
      <c r="N22" s="14" t="inlineStr">
        <is>
          <t>Ref Rate</t>
        </is>
      </c>
      <c r="O22" s="14" t="inlineStr">
        <is>
          <t>Spread</t>
        </is>
      </c>
      <c r="P22" s="14" t="inlineStr">
        <is>
          <t>Cash Rate</t>
        </is>
      </c>
      <c r="Q22" s="14" t="inlineStr">
        <is>
          <t>PIK Rate</t>
        </is>
      </c>
      <c r="R22" s="14" t="inlineStr">
        <is>
          <t>Maturity</t>
        </is>
      </c>
    </row>
    <row r="24">
      <c r="C24" s="5" t="inlineStr">
        <is>
          <t>Debt acquisition (cash to banks)</t>
        </is>
      </c>
      <c r="E24" s="9">
        <f>E11</f>
        <v/>
      </c>
      <c r="G24" s="5" t="inlineStr">
        <is>
          <t>Super-Senior Rescue Tranche</t>
        </is>
      </c>
      <c r="J24" s="9">
        <f>E15</f>
        <v/>
      </c>
      <c r="K24" s="16">
        <f>IFERROR(J24/L10,"nm")</f>
        <v/>
      </c>
      <c r="L24" s="13">
        <f>IFERROR(J24/E29,0)</f>
        <v/>
      </c>
      <c r="M24" s="5" t="inlineStr">
        <is>
          <t>Super-Snr</t>
        </is>
      </c>
      <c r="N24" s="17">
        <f>$L$13</f>
        <v/>
      </c>
      <c r="O24" s="12" t="n">
        <v>0.1</v>
      </c>
      <c r="P24" s="13">
        <f>N24+O24</f>
        <v/>
      </c>
      <c r="Q24" s="12" t="n">
        <v>0</v>
      </c>
      <c r="R24" s="18" t="n">
        <v>5</v>
      </c>
    </row>
    <row r="25">
      <c r="C25" s="5" t="inlineStr">
        <is>
          <t>Super-senior rescue injection</t>
        </is>
      </c>
      <c r="E25" s="9">
        <f>E15</f>
        <v/>
      </c>
      <c r="G25" s="5" t="inlineStr">
        <is>
          <t>Retained Senior Debt (post-swap)</t>
        </is>
      </c>
      <c r="J25" s="9">
        <f>E14</f>
        <v/>
      </c>
      <c r="K25" s="16">
        <f>IFERROR(J25/L10,"nm")</f>
        <v/>
      </c>
      <c r="L25" s="13">
        <f>IFERROR(J25/E29,0)</f>
        <v/>
      </c>
      <c r="M25" s="5" t="inlineStr">
        <is>
          <t>Senior</t>
        </is>
      </c>
      <c r="N25" s="17">
        <f>$L$13</f>
        <v/>
      </c>
      <c r="O25" s="12" t="n">
        <v>0.02</v>
      </c>
      <c r="P25" s="13">
        <f>N25+O25</f>
        <v/>
      </c>
      <c r="Q25" s="12" t="n">
        <v>0</v>
      </c>
      <c r="R25" s="18" t="n">
        <v>7</v>
      </c>
    </row>
    <row r="26">
      <c r="C26" s="5" t="inlineStr">
        <is>
          <t>Debt issuance fees</t>
        </is>
      </c>
      <c r="E26" s="9">
        <f>L14*(E14+E15)</f>
        <v/>
      </c>
      <c r="G26" s="5" t="inlineStr">
        <is>
          <t>ALiF Equity (debt-for-equity swap)</t>
        </is>
      </c>
      <c r="J26" s="9">
        <f>E29-SUM(J24:J25)</f>
        <v/>
      </c>
      <c r="K26" s="16">
        <f>IFERROR(J26/L10,"nm")</f>
        <v/>
      </c>
      <c r="L26" s="13">
        <f>IFERROR(J26/E29,0)</f>
        <v/>
      </c>
    </row>
    <row r="27">
      <c r="C27" s="5" t="inlineStr">
        <is>
          <t>Advisory fees</t>
        </is>
      </c>
      <c r="E27" s="9">
        <f>L15*E11</f>
        <v/>
      </c>
    </row>
    <row r="28">
      <c r="C28" s="5" t="inlineStr">
        <is>
          <t>Operating / minimum cash</t>
        </is>
      </c>
      <c r="E28" s="6" t="n">
        <v>500</v>
      </c>
    </row>
    <row r="29">
      <c r="C29" s="4" t="inlineStr">
        <is>
          <t>Total uses</t>
        </is>
      </c>
      <c r="E29" s="10">
        <f>SUM(E24:E28)</f>
        <v/>
      </c>
      <c r="G29" s="4" t="inlineStr">
        <is>
          <t>Total sources</t>
        </is>
      </c>
      <c r="J29" s="10">
        <f>SUM(J24:J26)</f>
        <v/>
      </c>
      <c r="K29" s="11">
        <f>IFERROR(J29/L10,"nm")</f>
        <v/>
      </c>
      <c r="L29" s="19">
        <f>IFERROR(J29/E29,0)</f>
        <v/>
      </c>
    </row>
    <row r="30">
      <c r="G30" s="20" t="inlineStr">
        <is>
          <t>Check (Sources - Uses)</t>
        </is>
      </c>
      <c r="J30" s="21">
        <f>J29-E29</f>
        <v/>
      </c>
    </row>
    <row r="32">
      <c r="B32" s="1" t="inlineStr">
        <is>
          <t>Operating Model — Projected Income Statement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4">
      <c r="C34" s="14" t="inlineStr">
        <is>
          <t>Year</t>
        </is>
      </c>
      <c r="D34" s="15" t="n"/>
      <c r="E34" s="15" t="n"/>
      <c r="F34" s="14" t="inlineStr">
        <is>
          <t>FY2022</t>
        </is>
      </c>
      <c r="G34" s="14" t="inlineStr">
        <is>
          <t>FY2023</t>
        </is>
      </c>
      <c r="H34" s="14" t="inlineStr">
        <is>
          <t>FY2024</t>
        </is>
      </c>
      <c r="I34" s="14" t="inlineStr">
        <is>
          <t>FY2025</t>
        </is>
      </c>
      <c r="J34" s="14" t="inlineStr">
        <is>
          <t>FY2026</t>
        </is>
      </c>
      <c r="K34" s="14" t="inlineStr">
        <is>
          <t>FY2027</t>
        </is>
      </c>
      <c r="L34" s="14" t="inlineStr">
        <is>
          <t>FY2028</t>
        </is>
      </c>
      <c r="M34" s="14" t="inlineStr">
        <is>
          <t>FY2029</t>
        </is>
      </c>
      <c r="N34" s="14" t="inlineStr">
        <is>
          <t>FY2030</t>
        </is>
      </c>
      <c r="O34" s="14" t="inlineStr">
        <is>
          <t>FY2031</t>
        </is>
      </c>
      <c r="P34" s="14" t="inlineStr">
        <is>
          <t>FY2032</t>
        </is>
      </c>
      <c r="Q34" s="14" t="inlineStr">
        <is>
          <t>FY2033</t>
        </is>
      </c>
      <c r="R34" s="14" t="inlineStr">
        <is>
          <t>FY2034</t>
        </is>
      </c>
    </row>
    <row r="36">
      <c r="C36" s="4" t="inlineStr">
        <is>
          <t>Net sales</t>
        </is>
      </c>
      <c r="F36" s="18" t="n">
        <v>7500</v>
      </c>
      <c r="G36" s="18" t="n">
        <v>8200</v>
      </c>
      <c r="H36" s="18" t="n">
        <v>8995.799999999999</v>
      </c>
      <c r="I36" s="6" t="n">
        <v>14932</v>
      </c>
      <c r="J36" s="6" t="n">
        <v>17283</v>
      </c>
      <c r="K36" s="6" t="n">
        <v>19458</v>
      </c>
      <c r="L36" s="6" t="n">
        <v>20631</v>
      </c>
      <c r="M36" s="6" t="n">
        <v>21634</v>
      </c>
      <c r="N36" s="9">
        <f>M36*1.03</f>
        <v/>
      </c>
      <c r="O36" s="9">
        <f>N36*1.03</f>
        <v/>
      </c>
      <c r="P36" s="9">
        <f>O36*1.03</f>
        <v/>
      </c>
      <c r="Q36" s="9">
        <f>P36*1.03</f>
        <v/>
      </c>
      <c r="R36" s="9">
        <f>Q36*1.03</f>
        <v/>
      </c>
    </row>
    <row r="37">
      <c r="D37" s="5" t="inlineStr">
        <is>
          <t>% growth</t>
        </is>
      </c>
      <c r="G37" s="17">
        <f>IFERROR(G36/F36-1,"NA")</f>
        <v/>
      </c>
      <c r="H37" s="17">
        <f>IFERROR(H36/G36-1,"NA")</f>
        <v/>
      </c>
      <c r="I37" s="13">
        <f>IFERROR(I36/H36-1,"NA")</f>
        <v/>
      </c>
      <c r="J37" s="13">
        <f>IFERROR(J36/I36-1,"NA")</f>
        <v/>
      </c>
      <c r="K37" s="13">
        <f>IFERROR(K36/J36-1,"NA")</f>
        <v/>
      </c>
      <c r="L37" s="13">
        <f>IFERROR(L36/K36-1,"NA")</f>
        <v/>
      </c>
      <c r="M37" s="13">
        <f>IFERROR(M36/L36-1,"NA")</f>
        <v/>
      </c>
      <c r="N37" s="13">
        <f>IFERROR(N36/M36-1,"NA")</f>
        <v/>
      </c>
      <c r="O37" s="13">
        <f>IFERROR(O36/N36-1,"NA")</f>
        <v/>
      </c>
      <c r="P37" s="13">
        <f>IFERROR(P36/O36-1,"NA")</f>
        <v/>
      </c>
      <c r="Q37" s="13">
        <f>IFERROR(Q36/P36-1,"NA")</f>
        <v/>
      </c>
      <c r="R37" s="13">
        <f>IFERROR(R36/Q36-1,"NA")</f>
        <v/>
      </c>
    </row>
    <row r="39">
      <c r="C39" s="4" t="inlineStr">
        <is>
          <t>EBITDA</t>
        </is>
      </c>
      <c r="F39" s="18" t="n">
        <v>-800</v>
      </c>
      <c r="G39" s="18" t="n">
        <v>-200</v>
      </c>
      <c r="H39" s="18" t="n">
        <v>18</v>
      </c>
      <c r="I39" s="9">
        <f>I36*I40</f>
        <v/>
      </c>
      <c r="J39" s="9">
        <f>J36*J40</f>
        <v/>
      </c>
      <c r="K39" s="9">
        <f>K36*K40</f>
        <v/>
      </c>
      <c r="L39" s="9">
        <f>L36*L40</f>
        <v/>
      </c>
      <c r="M39" s="9">
        <f>M36*M40</f>
        <v/>
      </c>
      <c r="N39" s="9">
        <f>N36*N40</f>
        <v/>
      </c>
      <c r="O39" s="9">
        <f>O36*O40</f>
        <v/>
      </c>
      <c r="P39" s="9">
        <f>P36*P40</f>
        <v/>
      </c>
      <c r="Q39" s="9">
        <f>Q36*Q40</f>
        <v/>
      </c>
      <c r="R39" s="9">
        <f>R36*R40</f>
        <v/>
      </c>
    </row>
    <row r="40">
      <c r="D40" s="5" t="inlineStr">
        <is>
          <t>% margin</t>
        </is>
      </c>
      <c r="F40" s="17">
        <f>IFERROR(F39/F36,"NA")</f>
        <v/>
      </c>
      <c r="G40" s="17">
        <f>IFERROR(G39/G36,"NA")</f>
        <v/>
      </c>
      <c r="H40" s="17">
        <f>IFERROR(H39/H36,"NA")</f>
        <v/>
      </c>
      <c r="I40" s="8" t="n">
        <v>0.08</v>
      </c>
      <c r="J40" s="8" t="n">
        <v>0.1</v>
      </c>
      <c r="K40" s="8" t="n">
        <v>0.13</v>
      </c>
      <c r="L40" s="8" t="n">
        <v>0.15</v>
      </c>
      <c r="M40" s="8" t="n">
        <v>0.1774</v>
      </c>
      <c r="N40" s="8" t="n">
        <v>0.18</v>
      </c>
      <c r="O40" s="8" t="n">
        <v>0.18</v>
      </c>
      <c r="P40" s="8" t="n">
        <v>0.18</v>
      </c>
      <c r="Q40" s="8" t="n">
        <v>0.18</v>
      </c>
      <c r="R40" s="8" t="n">
        <v>0.18</v>
      </c>
    </row>
    <row r="42">
      <c r="C42" s="5" t="inlineStr">
        <is>
          <t>Capex</t>
        </is>
      </c>
      <c r="F42" s="18" t="n">
        <v>150</v>
      </c>
      <c r="G42" s="18" t="n">
        <v>120</v>
      </c>
      <c r="H42" s="18" t="n">
        <v>50</v>
      </c>
      <c r="I42" s="9">
        <f>I36*I43</f>
        <v/>
      </c>
      <c r="J42" s="9">
        <f>J36*J43</f>
        <v/>
      </c>
      <c r="K42" s="9">
        <f>K36*K43</f>
        <v/>
      </c>
      <c r="L42" s="9">
        <f>L36*L43</f>
        <v/>
      </c>
      <c r="M42" s="9">
        <f>M36*M43</f>
        <v/>
      </c>
      <c r="N42" s="9">
        <f>N36*N43</f>
        <v/>
      </c>
      <c r="O42" s="9">
        <f>O36*O43</f>
        <v/>
      </c>
      <c r="P42" s="9">
        <f>P36*P43</f>
        <v/>
      </c>
      <c r="Q42" s="9">
        <f>Q36*Q43</f>
        <v/>
      </c>
      <c r="R42" s="9">
        <f>R36*R43</f>
        <v/>
      </c>
    </row>
    <row r="43">
      <c r="D43" s="5" t="inlineStr">
        <is>
          <t>% of sales</t>
        </is>
      </c>
      <c r="F43" s="17">
        <f>F42/F36</f>
        <v/>
      </c>
      <c r="G43" s="17">
        <f>G42/G36</f>
        <v/>
      </c>
      <c r="H43" s="17">
        <f>H42/H36</f>
        <v/>
      </c>
      <c r="I43" s="8" t="n">
        <v>0.02</v>
      </c>
      <c r="J43" s="8" t="n">
        <v>0.02</v>
      </c>
      <c r="K43" s="8" t="n">
        <v>0.02</v>
      </c>
      <c r="L43" s="8" t="n">
        <v>0.02</v>
      </c>
      <c r="M43" s="8" t="n">
        <v>0.02</v>
      </c>
      <c r="N43" s="8" t="n">
        <v>0.02</v>
      </c>
      <c r="O43" s="8" t="n">
        <v>0.02</v>
      </c>
      <c r="P43" s="8" t="n">
        <v>0.02</v>
      </c>
      <c r="Q43" s="8" t="n">
        <v>0.02</v>
      </c>
      <c r="R43" s="8" t="n">
        <v>0.02</v>
      </c>
    </row>
    <row r="45">
      <c r="C45" s="5" t="inlineStr">
        <is>
          <t>Depreciation &amp; amortization</t>
        </is>
      </c>
      <c r="F45" s="18" t="n">
        <v>800</v>
      </c>
      <c r="G45" s="18" t="n">
        <v>750</v>
      </c>
      <c r="H45" s="18" t="n">
        <v>700</v>
      </c>
      <c r="I45" s="9">
        <f>I42/I46</f>
        <v/>
      </c>
      <c r="J45" s="9">
        <f>J42/J46</f>
        <v/>
      </c>
      <c r="K45" s="9">
        <f>K42/K46</f>
        <v/>
      </c>
      <c r="L45" s="9">
        <f>L42/L46</f>
        <v/>
      </c>
      <c r="M45" s="9">
        <f>M42/M46</f>
        <v/>
      </c>
      <c r="N45" s="9">
        <f>N42/N46</f>
        <v/>
      </c>
      <c r="O45" s="9">
        <f>O42/O46</f>
        <v/>
      </c>
      <c r="P45" s="9">
        <f>P42/P46</f>
        <v/>
      </c>
      <c r="Q45" s="9">
        <f>Q42/Q46</f>
        <v/>
      </c>
      <c r="R45" s="9">
        <f>R42/R46</f>
        <v/>
      </c>
    </row>
    <row r="46">
      <c r="D46" s="5" t="inlineStr">
        <is>
          <t>D&amp;A / Capex</t>
        </is>
      </c>
      <c r="F46" s="22">
        <f>IFERROR(F45/F42,"NA")</f>
        <v/>
      </c>
      <c r="G46" s="22">
        <f>IFERROR(G45/G42,"NA")</f>
        <v/>
      </c>
      <c r="H46" s="22">
        <f>IFERROR(H45/H42,"NA")</f>
        <v/>
      </c>
      <c r="I46" s="7" t="n">
        <v>0.5</v>
      </c>
      <c r="J46" s="7" t="n">
        <v>0.5</v>
      </c>
      <c r="K46" s="7" t="n">
        <v>0.5</v>
      </c>
      <c r="L46" s="7" t="n">
        <v>0.5</v>
      </c>
      <c r="M46" s="7" t="n">
        <v>0.5</v>
      </c>
      <c r="N46" s="7" t="n">
        <v>0.5</v>
      </c>
      <c r="O46" s="7" t="n">
        <v>0.5</v>
      </c>
      <c r="P46" s="7" t="n">
        <v>0.5</v>
      </c>
      <c r="Q46" s="7" t="n">
        <v>0.5</v>
      </c>
      <c r="R46" s="7" t="n">
        <v>0.5</v>
      </c>
    </row>
    <row r="48">
      <c r="C48" s="5" t="inlineStr">
        <is>
          <t>Change in working capital</t>
        </is>
      </c>
      <c r="F48" s="18" t="n">
        <v>-500</v>
      </c>
      <c r="G48" s="18" t="n">
        <v>-300</v>
      </c>
      <c r="H48" s="18" t="n">
        <v>-200</v>
      </c>
      <c r="I48" s="9">
        <f>(I36-H36)*I49*-1</f>
        <v/>
      </c>
      <c r="J48" s="9">
        <f>(J36-I36)*J49*-1</f>
        <v/>
      </c>
      <c r="K48" s="9">
        <f>(K36-J36)*K49*-1</f>
        <v/>
      </c>
      <c r="L48" s="9">
        <f>(L36-K36)*L49*-1</f>
        <v/>
      </c>
      <c r="M48" s="9">
        <f>(M36-L36)*M49*-1</f>
        <v/>
      </c>
      <c r="N48" s="9">
        <f>(N36-M36)*N49*-1</f>
        <v/>
      </c>
      <c r="O48" s="9">
        <f>(O36-N36)*O49*-1</f>
        <v/>
      </c>
      <c r="P48" s="9">
        <f>(P36-O36)*P49*-1</f>
        <v/>
      </c>
      <c r="Q48" s="9">
        <f>(Q36-P36)*Q49*-1</f>
        <v/>
      </c>
      <c r="R48" s="9">
        <f>(R36-Q36)*R49*-1</f>
        <v/>
      </c>
    </row>
    <row r="49">
      <c r="D49" s="5" t="inlineStr">
        <is>
          <t>% of revenue change</t>
        </is>
      </c>
      <c r="I49" s="8" t="n">
        <v>0.05</v>
      </c>
      <c r="J49" s="8" t="n">
        <v>0.05</v>
      </c>
      <c r="K49" s="8" t="n">
        <v>0.05</v>
      </c>
      <c r="L49" s="8" t="n">
        <v>0.05</v>
      </c>
      <c r="M49" s="8" t="n">
        <v>0.05</v>
      </c>
      <c r="N49" s="8" t="n">
        <v>0.05</v>
      </c>
      <c r="O49" s="8" t="n">
        <v>0.05</v>
      </c>
      <c r="P49" s="8" t="n">
        <v>0.05</v>
      </c>
      <c r="Q49" s="8" t="n">
        <v>0.05</v>
      </c>
      <c r="R49" s="8" t="n">
        <v>0.05</v>
      </c>
    </row>
    <row r="51">
      <c r="B51" s="1" t="inlineStr">
        <is>
          <t>Pro-Forma Income Statement &amp; Free Cash Flow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3">
      <c r="C53" s="14" t="inlineStr">
        <is>
          <t>Year</t>
        </is>
      </c>
      <c r="D53" s="15" t="n"/>
      <c r="E53" s="15" t="n"/>
      <c r="F53" s="15" t="n"/>
      <c r="G53" s="15" t="n"/>
      <c r="H53" s="15" t="n"/>
      <c r="I53" s="14" t="inlineStr">
        <is>
          <t>FY2025</t>
        </is>
      </c>
      <c r="J53" s="14" t="inlineStr">
        <is>
          <t>FY2026</t>
        </is>
      </c>
      <c r="K53" s="14" t="inlineStr">
        <is>
          <t>FY2027</t>
        </is>
      </c>
      <c r="L53" s="14" t="inlineStr">
        <is>
          <t>FY2028</t>
        </is>
      </c>
      <c r="M53" s="14" t="inlineStr">
        <is>
          <t>FY2029</t>
        </is>
      </c>
      <c r="N53" s="14" t="inlineStr">
        <is>
          <t>FY2030</t>
        </is>
      </c>
      <c r="O53" s="14" t="inlineStr">
        <is>
          <t>FY2031</t>
        </is>
      </c>
      <c r="P53" s="14" t="inlineStr">
        <is>
          <t>FY2032</t>
        </is>
      </c>
      <c r="Q53" s="14" t="inlineStr">
        <is>
          <t>FY2033</t>
        </is>
      </c>
      <c r="R53" s="14" t="inlineStr">
        <is>
          <t>FY2034</t>
        </is>
      </c>
    </row>
    <row r="55">
      <c r="C55" s="5" t="inlineStr">
        <is>
          <t>Revenue</t>
        </is>
      </c>
      <c r="I55" s="9">
        <f>I36</f>
        <v/>
      </c>
      <c r="J55" s="9">
        <f>J36</f>
        <v/>
      </c>
      <c r="K55" s="9">
        <f>K36</f>
        <v/>
      </c>
      <c r="L55" s="9">
        <f>L36</f>
        <v/>
      </c>
      <c r="M55" s="9">
        <f>M36</f>
        <v/>
      </c>
      <c r="N55" s="9">
        <f>N36</f>
        <v/>
      </c>
      <c r="O55" s="9">
        <f>O36</f>
        <v/>
      </c>
      <c r="P55" s="9">
        <f>P36</f>
        <v/>
      </c>
      <c r="Q55" s="9">
        <f>Q36</f>
        <v/>
      </c>
      <c r="R55" s="9">
        <f>R36</f>
        <v/>
      </c>
    </row>
    <row r="56">
      <c r="C56" s="4" t="inlineStr">
        <is>
          <t>EBITDA</t>
        </is>
      </c>
      <c r="I56" s="10">
        <f>I39</f>
        <v/>
      </c>
      <c r="J56" s="10">
        <f>J39</f>
        <v/>
      </c>
      <c r="K56" s="10">
        <f>K39</f>
        <v/>
      </c>
      <c r="L56" s="10">
        <f>L39</f>
        <v/>
      </c>
      <c r="M56" s="10">
        <f>M39</f>
        <v/>
      </c>
      <c r="N56" s="10">
        <f>N39</f>
        <v/>
      </c>
      <c r="O56" s="10">
        <f>O39</f>
        <v/>
      </c>
      <c r="P56" s="10">
        <f>P39</f>
        <v/>
      </c>
      <c r="Q56" s="10">
        <f>Q39</f>
        <v/>
      </c>
      <c r="R56" s="10">
        <f>R39</f>
        <v/>
      </c>
    </row>
    <row r="57">
      <c r="D57" s="5" t="inlineStr">
        <is>
          <t>D&amp;A</t>
        </is>
      </c>
      <c r="I57" s="9">
        <f>I45*-1</f>
        <v/>
      </c>
      <c r="J57" s="9">
        <f>J45*-1</f>
        <v/>
      </c>
      <c r="K57" s="9">
        <f>K45*-1</f>
        <v/>
      </c>
      <c r="L57" s="9">
        <f>L45*-1</f>
        <v/>
      </c>
      <c r="M57" s="9">
        <f>M45*-1</f>
        <v/>
      </c>
      <c r="N57" s="9">
        <f>N45*-1</f>
        <v/>
      </c>
      <c r="O57" s="9">
        <f>O45*-1</f>
        <v/>
      </c>
      <c r="P57" s="9">
        <f>P45*-1</f>
        <v/>
      </c>
      <c r="Q57" s="9">
        <f>Q45*-1</f>
        <v/>
      </c>
      <c r="R57" s="9">
        <f>R45*-1</f>
        <v/>
      </c>
    </row>
    <row r="58">
      <c r="C58" s="4" t="inlineStr">
        <is>
          <t>EBIT</t>
        </is>
      </c>
      <c r="I58" s="10">
        <f>I56+I57</f>
        <v/>
      </c>
      <c r="J58" s="10">
        <f>J56+J57</f>
        <v/>
      </c>
      <c r="K58" s="10">
        <f>K56+K57</f>
        <v/>
      </c>
      <c r="L58" s="10">
        <f>L56+L57</f>
        <v/>
      </c>
      <c r="M58" s="10">
        <f>M56+M57</f>
        <v/>
      </c>
      <c r="N58" s="10">
        <f>N56+N57</f>
        <v/>
      </c>
      <c r="O58" s="10">
        <f>O56+O57</f>
        <v/>
      </c>
      <c r="P58" s="10">
        <f>P56+P57</f>
        <v/>
      </c>
      <c r="Q58" s="10">
        <f>Q56+Q57</f>
        <v/>
      </c>
      <c r="R58" s="10">
        <f>R56+R57</f>
        <v/>
      </c>
    </row>
    <row r="59">
      <c r="D59" s="5" t="inlineStr">
        <is>
          <t>Interest expense</t>
        </is>
      </c>
      <c r="I59" s="9">
        <f>I131*-1</f>
        <v/>
      </c>
      <c r="J59" s="9">
        <f>J131*-1</f>
        <v/>
      </c>
      <c r="K59" s="9">
        <f>K131*-1</f>
        <v/>
      </c>
      <c r="L59" s="9">
        <f>L131*-1</f>
        <v/>
      </c>
      <c r="M59" s="9">
        <f>M131*-1</f>
        <v/>
      </c>
      <c r="N59" s="9">
        <f>N131*-1</f>
        <v/>
      </c>
      <c r="O59" s="9">
        <f>O131*-1</f>
        <v/>
      </c>
      <c r="P59" s="9">
        <f>P131*-1</f>
        <v/>
      </c>
      <c r="Q59" s="9">
        <f>Q131*-1</f>
        <v/>
      </c>
      <c r="R59" s="9">
        <f>R131*-1</f>
        <v/>
      </c>
    </row>
    <row r="60">
      <c r="C60" s="4" t="inlineStr">
        <is>
          <t>EBT</t>
        </is>
      </c>
      <c r="I60" s="10">
        <f>I58+I59</f>
        <v/>
      </c>
      <c r="J60" s="10">
        <f>J58+J59</f>
        <v/>
      </c>
      <c r="K60" s="10">
        <f>K58+K59</f>
        <v/>
      </c>
      <c r="L60" s="10">
        <f>L58+L59</f>
        <v/>
      </c>
      <c r="M60" s="10">
        <f>M58+M59</f>
        <v/>
      </c>
      <c r="N60" s="10">
        <f>N58+N59</f>
        <v/>
      </c>
      <c r="O60" s="10">
        <f>O58+O59</f>
        <v/>
      </c>
      <c r="P60" s="10">
        <f>P58+P59</f>
        <v/>
      </c>
      <c r="Q60" s="10">
        <f>Q58+Q59</f>
        <v/>
      </c>
      <c r="R60" s="10">
        <f>R58+R59</f>
        <v/>
      </c>
    </row>
    <row r="61">
      <c r="D61" s="5" t="inlineStr">
        <is>
          <t>Tax expense</t>
        </is>
      </c>
      <c r="I61" s="9">
        <f>IF(I60&gt;0,I60*$E$12*-1,0)</f>
        <v/>
      </c>
      <c r="J61" s="9">
        <f>IF(J60&gt;0,J60*$E$12*-1,0)</f>
        <v/>
      </c>
      <c r="K61" s="9">
        <f>IF(K60&gt;0,K60*$E$12*-1,0)</f>
        <v/>
      </c>
      <c r="L61" s="9">
        <f>IF(L60&gt;0,L60*$E$12*-1,0)</f>
        <v/>
      </c>
      <c r="M61" s="9">
        <f>IF(M60&gt;0,M60*$E$12*-1,0)</f>
        <v/>
      </c>
      <c r="N61" s="9">
        <f>IF(N60&gt;0,N60*$E$12*-1,0)</f>
        <v/>
      </c>
      <c r="O61" s="9">
        <f>IF(O60&gt;0,O60*$E$12*-1,0)</f>
        <v/>
      </c>
      <c r="P61" s="9">
        <f>IF(P60&gt;0,P60*$E$12*-1,0)</f>
        <v/>
      </c>
      <c r="Q61" s="9">
        <f>IF(Q60&gt;0,Q60*$E$12*-1,0)</f>
        <v/>
      </c>
      <c r="R61" s="9">
        <f>IF(R60&gt;0,R60*$E$12*-1,0)</f>
        <v/>
      </c>
    </row>
    <row r="62">
      <c r="C62" s="4" t="inlineStr">
        <is>
          <t>Net Income</t>
        </is>
      </c>
      <c r="I62" s="10">
        <f>I60+I61</f>
        <v/>
      </c>
      <c r="J62" s="10">
        <f>J60+J61</f>
        <v/>
      </c>
      <c r="K62" s="10">
        <f>K60+K61</f>
        <v/>
      </c>
      <c r="L62" s="10">
        <f>L60+L61</f>
        <v/>
      </c>
      <c r="M62" s="10">
        <f>M60+M61</f>
        <v/>
      </c>
      <c r="N62" s="10">
        <f>N60+N61</f>
        <v/>
      </c>
      <c r="O62" s="10">
        <f>O60+O61</f>
        <v/>
      </c>
      <c r="P62" s="10">
        <f>P60+P61</f>
        <v/>
      </c>
      <c r="Q62" s="10">
        <f>Q60+Q61</f>
        <v/>
      </c>
      <c r="R62" s="10">
        <f>R60+R61</f>
        <v/>
      </c>
    </row>
    <row r="64">
      <c r="C64" s="4" t="inlineStr">
        <is>
          <t>Free Cash Flow Build</t>
        </is>
      </c>
    </row>
    <row r="65">
      <c r="C65" s="5" t="inlineStr">
        <is>
          <t>EBITDA</t>
        </is>
      </c>
      <c r="I65" s="9">
        <f>I39</f>
        <v/>
      </c>
      <c r="J65" s="9">
        <f>J39</f>
        <v/>
      </c>
      <c r="K65" s="9">
        <f>K39</f>
        <v/>
      </c>
      <c r="L65" s="9">
        <f>L39</f>
        <v/>
      </c>
      <c r="M65" s="9">
        <f>M39</f>
        <v/>
      </c>
      <c r="N65" s="9">
        <f>N39</f>
        <v/>
      </c>
      <c r="O65" s="9">
        <f>O39</f>
        <v/>
      </c>
      <c r="P65" s="9">
        <f>P39</f>
        <v/>
      </c>
      <c r="Q65" s="9">
        <f>Q39</f>
        <v/>
      </c>
      <c r="R65" s="9">
        <f>R39</f>
        <v/>
      </c>
    </row>
    <row r="66">
      <c r="D66" s="5" t="inlineStr">
        <is>
          <t>Less: Capex</t>
        </is>
      </c>
      <c r="I66" s="9">
        <f>I42*-1</f>
        <v/>
      </c>
      <c r="J66" s="9">
        <f>J42*-1</f>
        <v/>
      </c>
      <c r="K66" s="9">
        <f>K42*-1</f>
        <v/>
      </c>
      <c r="L66" s="9">
        <f>L42*-1</f>
        <v/>
      </c>
      <c r="M66" s="9">
        <f>M42*-1</f>
        <v/>
      </c>
      <c r="N66" s="9">
        <f>N42*-1</f>
        <v/>
      </c>
      <c r="O66" s="9">
        <f>O42*-1</f>
        <v/>
      </c>
      <c r="P66" s="9">
        <f>P42*-1</f>
        <v/>
      </c>
      <c r="Q66" s="9">
        <f>Q42*-1</f>
        <v/>
      </c>
      <c r="R66" s="9">
        <f>R42*-1</f>
        <v/>
      </c>
    </row>
    <row r="67">
      <c r="D67" s="5" t="inlineStr">
        <is>
          <t>Less: Change in WC</t>
        </is>
      </c>
      <c r="I67" s="9">
        <f>I48</f>
        <v/>
      </c>
      <c r="J67" s="9">
        <f>J48</f>
        <v/>
      </c>
      <c r="K67" s="9">
        <f>K48</f>
        <v/>
      </c>
      <c r="L67" s="9">
        <f>L48</f>
        <v/>
      </c>
      <c r="M67" s="9">
        <f>M48</f>
        <v/>
      </c>
      <c r="N67" s="9">
        <f>N48</f>
        <v/>
      </c>
      <c r="O67" s="9">
        <f>O48</f>
        <v/>
      </c>
      <c r="P67" s="9">
        <f>P48</f>
        <v/>
      </c>
      <c r="Q67" s="9">
        <f>Q48</f>
        <v/>
      </c>
      <c r="R67" s="9">
        <f>R48</f>
        <v/>
      </c>
    </row>
    <row r="68">
      <c r="C68" s="4" t="inlineStr">
        <is>
          <t>Unlevered FCF</t>
        </is>
      </c>
      <c r="I68" s="10">
        <f>SUM(I65:I67)</f>
        <v/>
      </c>
      <c r="J68" s="10">
        <f>SUM(J65:J67)</f>
        <v/>
      </c>
      <c r="K68" s="10">
        <f>SUM(K65:K67)</f>
        <v/>
      </c>
      <c r="L68" s="10">
        <f>SUM(L65:L67)</f>
        <v/>
      </c>
      <c r="M68" s="10">
        <f>SUM(M65:M67)</f>
        <v/>
      </c>
      <c r="N68" s="10">
        <f>SUM(N65:N67)</f>
        <v/>
      </c>
      <c r="O68" s="10">
        <f>SUM(O65:O67)</f>
        <v/>
      </c>
      <c r="P68" s="10">
        <f>SUM(P65:P67)</f>
        <v/>
      </c>
      <c r="Q68" s="10">
        <f>SUM(Q65:Q67)</f>
        <v/>
      </c>
      <c r="R68" s="10">
        <f>SUM(R65:R67)</f>
        <v/>
      </c>
    </row>
    <row r="69">
      <c r="D69" s="5" t="inlineStr">
        <is>
          <t>Less: Cash interest</t>
        </is>
      </c>
      <c r="I69" s="9">
        <f>I131*-1</f>
        <v/>
      </c>
      <c r="J69" s="9">
        <f>J131*-1</f>
        <v/>
      </c>
      <c r="K69" s="9">
        <f>K131*-1</f>
        <v/>
      </c>
      <c r="L69" s="9">
        <f>L131*-1</f>
        <v/>
      </c>
      <c r="M69" s="9">
        <f>M131*-1</f>
        <v/>
      </c>
      <c r="N69" s="9">
        <f>N131*-1</f>
        <v/>
      </c>
      <c r="O69" s="9">
        <f>O131*-1</f>
        <v/>
      </c>
      <c r="P69" s="9">
        <f>P131*-1</f>
        <v/>
      </c>
      <c r="Q69" s="9">
        <f>Q131*-1</f>
        <v/>
      </c>
      <c r="R69" s="9">
        <f>R131*-1</f>
        <v/>
      </c>
    </row>
    <row r="70">
      <c r="D70" s="5" t="inlineStr">
        <is>
          <t>Less: Tax</t>
        </is>
      </c>
      <c r="I70" s="9">
        <f>IF(I68+I69&gt;0,(I68+I69)*$E$12*-1,0)</f>
        <v/>
      </c>
      <c r="J70" s="9">
        <f>IF(J68+J69&gt;0,(J68+J69)*$E$12*-1,0)</f>
        <v/>
      </c>
      <c r="K70" s="9">
        <f>IF(K68+K69&gt;0,(K68+K69)*$E$12*-1,0)</f>
        <v/>
      </c>
      <c r="L70" s="9">
        <f>IF(L68+L69&gt;0,(L68+L69)*$E$12*-1,0)</f>
        <v/>
      </c>
      <c r="M70" s="9">
        <f>IF(M68+M69&gt;0,(M68+M69)*$E$12*-1,0)</f>
        <v/>
      </c>
      <c r="N70" s="9">
        <f>IF(N68+N69&gt;0,(N68+N69)*$E$12*-1,0)</f>
        <v/>
      </c>
      <c r="O70" s="9">
        <f>IF(O68+O69&gt;0,(O68+O69)*$E$12*-1,0)</f>
        <v/>
      </c>
      <c r="P70" s="9">
        <f>IF(P68+P69&gt;0,(P68+P69)*$E$12*-1,0)</f>
        <v/>
      </c>
      <c r="Q70" s="9">
        <f>IF(Q68+Q69&gt;0,(Q68+Q69)*$E$12*-1,0)</f>
        <v/>
      </c>
      <c r="R70" s="9">
        <f>IF(R68+R69&gt;0,(R68+R69)*$E$12*-1,0)</f>
        <v/>
      </c>
    </row>
    <row r="71">
      <c r="C71" s="4" t="inlineStr">
        <is>
          <t>Levered FCF</t>
        </is>
      </c>
      <c r="I71" s="10">
        <f>I68+I69+I70</f>
        <v/>
      </c>
      <c r="J71" s="10">
        <f>J68+J69+J70</f>
        <v/>
      </c>
      <c r="K71" s="10">
        <f>K68+K69+K70</f>
        <v/>
      </c>
      <c r="L71" s="10">
        <f>L68+L69+L70</f>
        <v/>
      </c>
      <c r="M71" s="10">
        <f>M68+M69+M70</f>
        <v/>
      </c>
      <c r="N71" s="10">
        <f>N68+N69+N70</f>
        <v/>
      </c>
      <c r="O71" s="10">
        <f>O68+O69+O70</f>
        <v/>
      </c>
      <c r="P71" s="10">
        <f>P68+P69+P70</f>
        <v/>
      </c>
      <c r="Q71" s="10">
        <f>Q68+Q69+Q70</f>
        <v/>
      </c>
      <c r="R71" s="10">
        <f>R68+R69+R70</f>
        <v/>
      </c>
    </row>
    <row r="72">
      <c r="D72" s="5" t="inlineStr">
        <is>
          <t>Less: Mandatory repayment</t>
        </is>
      </c>
      <c r="I72" s="9">
        <f>I100</f>
        <v/>
      </c>
      <c r="J72" s="9">
        <f>J100</f>
        <v/>
      </c>
      <c r="K72" s="9">
        <f>K100</f>
        <v/>
      </c>
      <c r="L72" s="9">
        <f>L100</f>
        <v/>
      </c>
      <c r="M72" s="9">
        <f>M100</f>
        <v/>
      </c>
      <c r="N72" s="9">
        <f>N100</f>
        <v/>
      </c>
      <c r="O72" s="9">
        <f>O100</f>
        <v/>
      </c>
      <c r="P72" s="9">
        <f>P100</f>
        <v/>
      </c>
      <c r="Q72" s="9">
        <f>Q100</f>
        <v/>
      </c>
      <c r="R72" s="9">
        <f>R100</f>
        <v/>
      </c>
    </row>
    <row r="73">
      <c r="C73" s="4" t="inlineStr">
        <is>
          <t>Cash for sweep repayment</t>
        </is>
      </c>
      <c r="I73" s="10">
        <f>I71+I72</f>
        <v/>
      </c>
      <c r="J73" s="10">
        <f>J71+J72</f>
        <v/>
      </c>
      <c r="K73" s="10">
        <f>K71+K72</f>
        <v/>
      </c>
      <c r="L73" s="10">
        <f>L71+L72</f>
        <v/>
      </c>
      <c r="M73" s="10">
        <f>M71+M72</f>
        <v/>
      </c>
      <c r="N73" s="10">
        <f>N71+N72</f>
        <v/>
      </c>
      <c r="O73" s="10">
        <f>O71+O72</f>
        <v/>
      </c>
      <c r="P73" s="10">
        <f>P71+P72</f>
        <v/>
      </c>
      <c r="Q73" s="10">
        <f>Q71+Q72</f>
        <v/>
      </c>
      <c r="R73" s="10">
        <f>R71+R72</f>
        <v/>
      </c>
    </row>
    <row r="75">
      <c r="B75" s="1" t="inlineStr">
        <is>
          <t>Debt Schedule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7">
      <c r="C77" s="14" t="inlineStr">
        <is>
          <t>Year</t>
        </is>
      </c>
      <c r="D77" s="15" t="n"/>
      <c r="E77" s="15" t="n"/>
      <c r="F77" s="15" t="n"/>
      <c r="G77" s="15" t="n"/>
      <c r="H77" s="14" t="inlineStr">
        <is>
          <t>At Close</t>
        </is>
      </c>
      <c r="I77" s="14" t="inlineStr">
        <is>
          <t>FY2025</t>
        </is>
      </c>
      <c r="J77" s="14" t="inlineStr">
        <is>
          <t>FY2026</t>
        </is>
      </c>
      <c r="K77" s="14" t="inlineStr">
        <is>
          <t>FY2027</t>
        </is>
      </c>
      <c r="L77" s="14" t="inlineStr">
        <is>
          <t>FY2028</t>
        </is>
      </c>
      <c r="M77" s="14" t="inlineStr">
        <is>
          <t>FY2029</t>
        </is>
      </c>
      <c r="N77" s="14" t="inlineStr">
        <is>
          <t>FY2030</t>
        </is>
      </c>
      <c r="O77" s="14" t="inlineStr">
        <is>
          <t>FY2031</t>
        </is>
      </c>
      <c r="P77" s="14" t="inlineStr">
        <is>
          <t>FY2032</t>
        </is>
      </c>
      <c r="Q77" s="14" t="inlineStr">
        <is>
          <t>FY2033</t>
        </is>
      </c>
      <c r="R77" s="14" t="inlineStr">
        <is>
          <t>FY2034</t>
        </is>
      </c>
    </row>
    <row r="79">
      <c r="D79" s="14" t="inlineStr">
        <is>
          <t>Super-Senior Rescue Tranche (14.5%)</t>
        </is>
      </c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</row>
    <row r="81">
      <c r="D81" s="5" t="inlineStr">
        <is>
          <t>Beginning balance</t>
        </is>
      </c>
      <c r="H81" s="9">
        <f>J24</f>
        <v/>
      </c>
      <c r="I81" s="9">
        <f>H85</f>
        <v/>
      </c>
      <c r="J81" s="9">
        <f>I85</f>
        <v/>
      </c>
      <c r="K81" s="9">
        <f>J85</f>
        <v/>
      </c>
      <c r="L81" s="9">
        <f>K85</f>
        <v/>
      </c>
      <c r="M81" s="9">
        <f>L85</f>
        <v/>
      </c>
      <c r="N81" s="9">
        <f>M85</f>
        <v/>
      </c>
      <c r="O81" s="9">
        <f>N85</f>
        <v/>
      </c>
      <c r="P81" s="9">
        <f>O85</f>
        <v/>
      </c>
      <c r="Q81" s="9">
        <f>P85</f>
        <v/>
      </c>
      <c r="R81" s="9">
        <f>Q85</f>
        <v/>
      </c>
    </row>
    <row r="82">
      <c r="D82" s="5" t="inlineStr">
        <is>
          <t>Mandatory repayment</t>
        </is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</row>
    <row r="83">
      <c r="D83" s="5" t="inlineStr">
        <is>
          <t>Optional repayment (sweep)</t>
        </is>
      </c>
      <c r="I83" s="9">
        <f>MIN(SUM(I81:I82),MAX(I73,0))*-1</f>
        <v/>
      </c>
      <c r="J83" s="9">
        <f>MIN(SUM(J81:J82),MAX(J73,0))*-1</f>
        <v/>
      </c>
      <c r="K83" s="9">
        <f>MIN(SUM(K81:K82),MAX(K73,0))*-1</f>
        <v/>
      </c>
      <c r="L83" s="9">
        <f>MIN(SUM(L81:L82),MAX(L73,0))*-1</f>
        <v/>
      </c>
      <c r="M83" s="9">
        <f>MIN(SUM(M81:M82),MAX(M73,0))*-1</f>
        <v/>
      </c>
      <c r="N83" s="9">
        <f>MIN(SUM(N81:N82),MAX(N73,0))*-1</f>
        <v/>
      </c>
      <c r="O83" s="9">
        <f>MIN(SUM(O81:O82),MAX(O73,0))*-1</f>
        <v/>
      </c>
      <c r="P83" s="9">
        <f>MIN(SUM(P81:P82),MAX(P73,0))*-1</f>
        <v/>
      </c>
      <c r="Q83" s="9">
        <f>MIN(SUM(Q81:Q82),MAX(Q73,0))*-1</f>
        <v/>
      </c>
      <c r="R83" s="9">
        <f>MIN(SUM(R81:R82),MAX(R73,0))*-1</f>
        <v/>
      </c>
    </row>
    <row r="84">
      <c r="D84" s="5" t="inlineStr">
        <is>
          <t>PIK interest accrual</t>
        </is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0</v>
      </c>
      <c r="Q84" s="9" t="n">
        <v>0</v>
      </c>
      <c r="R84" s="9" t="n">
        <v>0</v>
      </c>
    </row>
    <row r="85">
      <c r="D85" s="4" t="inlineStr">
        <is>
          <t>Ending balance</t>
        </is>
      </c>
      <c r="H85" s="10">
        <f>J24</f>
        <v/>
      </c>
      <c r="I85" s="10">
        <f>SUM(I81:I84)</f>
        <v/>
      </c>
      <c r="J85" s="10">
        <f>SUM(J81:J84)</f>
        <v/>
      </c>
      <c r="K85" s="10">
        <f>SUM(K81:K84)</f>
        <v/>
      </c>
      <c r="L85" s="10">
        <f>SUM(L81:L84)</f>
        <v/>
      </c>
      <c r="M85" s="10">
        <f>SUM(M81:M84)</f>
        <v/>
      </c>
      <c r="N85" s="10">
        <f>SUM(N81:N84)</f>
        <v/>
      </c>
      <c r="O85" s="10">
        <f>SUM(O81:O84)</f>
        <v/>
      </c>
      <c r="P85" s="10">
        <f>SUM(P81:P84)</f>
        <v/>
      </c>
      <c r="Q85" s="10">
        <f>SUM(Q81:Q84)</f>
        <v/>
      </c>
      <c r="R85" s="10">
        <f>SUM(R81:R84)</f>
        <v/>
      </c>
    </row>
    <row r="86">
      <c r="D86" s="5" t="inlineStr">
        <is>
          <t>Cash interest</t>
        </is>
      </c>
      <c r="E86" s="13">
        <f>P24</f>
        <v/>
      </c>
      <c r="I86" s="9">
        <f>$E86*I81</f>
        <v/>
      </c>
      <c r="J86" s="9">
        <f>$E86*J81</f>
        <v/>
      </c>
      <c r="K86" s="9">
        <f>$E86*K81</f>
        <v/>
      </c>
      <c r="L86" s="9">
        <f>$E86*L81</f>
        <v/>
      </c>
      <c r="M86" s="9">
        <f>$E86*M81</f>
        <v/>
      </c>
      <c r="N86" s="9">
        <f>$E86*N81</f>
        <v/>
      </c>
      <c r="O86" s="9">
        <f>$E86*O81</f>
        <v/>
      </c>
      <c r="P86" s="9">
        <f>$E86*P81</f>
        <v/>
      </c>
      <c r="Q86" s="9">
        <f>$E86*Q81</f>
        <v/>
      </c>
      <c r="R86" s="9">
        <f>$E86*R81</f>
        <v/>
      </c>
    </row>
    <row r="89">
      <c r="D89" s="14" t="inlineStr">
        <is>
          <t>Retained Senior Debt (6.5%)</t>
        </is>
      </c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</row>
    <row r="91">
      <c r="D91" s="5" t="inlineStr">
        <is>
          <t>Beginning balance</t>
        </is>
      </c>
      <c r="H91" s="9">
        <f>J25</f>
        <v/>
      </c>
      <c r="I91" s="9">
        <f>H95</f>
        <v/>
      </c>
      <c r="J91" s="9">
        <f>I95</f>
        <v/>
      </c>
      <c r="K91" s="9">
        <f>J95</f>
        <v/>
      </c>
      <c r="L91" s="9">
        <f>K95</f>
        <v/>
      </c>
      <c r="M91" s="9">
        <f>L95</f>
        <v/>
      </c>
      <c r="N91" s="9">
        <f>M95</f>
        <v/>
      </c>
      <c r="O91" s="9">
        <f>N95</f>
        <v/>
      </c>
      <c r="P91" s="9">
        <f>O95</f>
        <v/>
      </c>
      <c r="Q91" s="9">
        <f>P95</f>
        <v/>
      </c>
      <c r="R91" s="9">
        <f>Q95</f>
        <v/>
      </c>
    </row>
    <row r="92">
      <c r="D92" s="5" t="inlineStr">
        <is>
          <t>Mandatory repayment (1/7 p.a.)</t>
        </is>
      </c>
      <c r="I92" s="9">
        <f>IF(I91&gt;0,MIN(I91,I91/7)*-1,0)</f>
        <v/>
      </c>
      <c r="J92" s="9">
        <f>IF(J91&gt;0,MIN(J91,J91/7)*-1,0)</f>
        <v/>
      </c>
      <c r="K92" s="9">
        <f>IF(K91&gt;0,MIN(K91,K91/7)*-1,0)</f>
        <v/>
      </c>
      <c r="L92" s="9">
        <f>IF(L91&gt;0,MIN(L91,L91/7)*-1,0)</f>
        <v/>
      </c>
      <c r="M92" s="9">
        <f>IF(M91&gt;0,MIN(M91,M91/7)*-1,0)</f>
        <v/>
      </c>
      <c r="N92" s="9">
        <f>IF(N91&gt;0,MIN(N91,N91/7)*-1,0)</f>
        <v/>
      </c>
      <c r="O92" s="9">
        <f>IF(O91&gt;0,MIN(O91,O91/7)*-1,0)</f>
        <v/>
      </c>
      <c r="P92" s="9">
        <f>IF(P91&gt;0,MIN(P91,P91/7)*-1,0)</f>
        <v/>
      </c>
      <c r="Q92" s="9">
        <f>IF(Q91&gt;0,MIN(Q91,Q91/7)*-1,0)</f>
        <v/>
      </c>
      <c r="R92" s="9">
        <f>IF(R91&gt;0,MIN(R91,R91/7)*-1,0)</f>
        <v/>
      </c>
    </row>
    <row r="93">
      <c r="D93" s="5" t="inlineStr">
        <is>
          <t>Optional repayment (sweep)</t>
        </is>
      </c>
      <c r="I93" s="9">
        <f>MIN(SUM(I91:I92),MAX(I73+I83+I92,0))*-1</f>
        <v/>
      </c>
      <c r="J93" s="9">
        <f>MIN(SUM(J91:J92),MAX(J73+J83+J92,0))*-1</f>
        <v/>
      </c>
      <c r="K93" s="9">
        <f>MIN(SUM(K91:K92),MAX(K73+K83+K92,0))*-1</f>
        <v/>
      </c>
      <c r="L93" s="9">
        <f>MIN(SUM(L91:L92),MAX(L73+L83+L92,0))*-1</f>
        <v/>
      </c>
      <c r="M93" s="9">
        <f>MIN(SUM(M91:M92),MAX(M73+M83+M92,0))*-1</f>
        <v/>
      </c>
      <c r="N93" s="9">
        <f>MIN(SUM(N91:N92),MAX(N73+N83+N92,0))*-1</f>
        <v/>
      </c>
      <c r="O93" s="9">
        <f>MIN(SUM(O91:O92),MAX(O73+O83+O92,0))*-1</f>
        <v/>
      </c>
      <c r="P93" s="9">
        <f>MIN(SUM(P91:P92),MAX(P73+P83+P92,0))*-1</f>
        <v/>
      </c>
      <c r="Q93" s="9">
        <f>MIN(SUM(Q91:Q92),MAX(Q73+Q83+Q92,0))*-1</f>
        <v/>
      </c>
      <c r="R93" s="9">
        <f>MIN(SUM(R91:R92),MAX(R73+R83+R92,0))*-1</f>
        <v/>
      </c>
    </row>
    <row r="94">
      <c r="D94" s="5" t="inlineStr">
        <is>
          <t>PIK interest accrual</t>
        </is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</row>
    <row r="95">
      <c r="D95" s="4" t="inlineStr">
        <is>
          <t>Ending balance</t>
        </is>
      </c>
      <c r="H95" s="10">
        <f>J25</f>
        <v/>
      </c>
      <c r="I95" s="10">
        <f>SUM(I91:I94)</f>
        <v/>
      </c>
      <c r="J95" s="10">
        <f>SUM(J91:J94)</f>
        <v/>
      </c>
      <c r="K95" s="10">
        <f>SUM(K91:K94)</f>
        <v/>
      </c>
      <c r="L95" s="10">
        <f>SUM(L91:L94)</f>
        <v/>
      </c>
      <c r="M95" s="10">
        <f>SUM(M91:M94)</f>
        <v/>
      </c>
      <c r="N95" s="10">
        <f>SUM(N91:N94)</f>
        <v/>
      </c>
      <c r="O95" s="10">
        <f>SUM(O91:O94)</f>
        <v/>
      </c>
      <c r="P95" s="10">
        <f>SUM(P91:P94)</f>
        <v/>
      </c>
      <c r="Q95" s="10">
        <f>SUM(Q91:Q94)</f>
        <v/>
      </c>
      <c r="R95" s="10">
        <f>SUM(R91:R94)</f>
        <v/>
      </c>
    </row>
    <row r="96">
      <c r="D96" s="5" t="inlineStr">
        <is>
          <t>Cash interest</t>
        </is>
      </c>
      <c r="E96" s="13">
        <f>P25</f>
        <v/>
      </c>
      <c r="I96" s="9">
        <f>$E96*I91</f>
        <v/>
      </c>
      <c r="J96" s="9">
        <f>$E96*J91</f>
        <v/>
      </c>
      <c r="K96" s="9">
        <f>$E96*K91</f>
        <v/>
      </c>
      <c r="L96" s="9">
        <f>$E96*L91</f>
        <v/>
      </c>
      <c r="M96" s="9">
        <f>$E96*M91</f>
        <v/>
      </c>
      <c r="N96" s="9">
        <f>$E96*N91</f>
        <v/>
      </c>
      <c r="O96" s="9">
        <f>$E96*O91</f>
        <v/>
      </c>
      <c r="P96" s="9">
        <f>$E96*P91</f>
        <v/>
      </c>
      <c r="Q96" s="9">
        <f>$E96*Q91</f>
        <v/>
      </c>
      <c r="R96" s="9">
        <f>$E96*R91</f>
        <v/>
      </c>
    </row>
    <row r="100">
      <c r="D100" s="5" t="inlineStr">
        <is>
          <t>Total mandatory repayment</t>
        </is>
      </c>
      <c r="I100" s="9">
        <f>I82+I92</f>
        <v/>
      </c>
      <c r="J100" s="9">
        <f>J82+J92</f>
        <v/>
      </c>
      <c r="K100" s="9">
        <f>K82+K92</f>
        <v/>
      </c>
      <c r="L100" s="9">
        <f>L82+L92</f>
        <v/>
      </c>
      <c r="M100" s="9">
        <f>M82+M92</f>
        <v/>
      </c>
      <c r="N100" s="9">
        <f>N82+N92</f>
        <v/>
      </c>
      <c r="O100" s="9">
        <f>O82+O92</f>
        <v/>
      </c>
      <c r="P100" s="9">
        <f>P82+P92</f>
        <v/>
      </c>
      <c r="Q100" s="9">
        <f>Q82+Q92</f>
        <v/>
      </c>
      <c r="R100" s="9">
        <f>R82+R92</f>
        <v/>
      </c>
    </row>
    <row r="125">
      <c r="D125" s="14" t="inlineStr">
        <is>
          <t>Debt Summary</t>
        </is>
      </c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</row>
    <row r="127">
      <c r="D127" s="5" t="inlineStr">
        <is>
          <t>Total debt</t>
        </is>
      </c>
      <c r="H127" s="9">
        <f>H85+H95</f>
        <v/>
      </c>
      <c r="I127" s="9">
        <f>I85+I95</f>
        <v/>
      </c>
      <c r="J127" s="9">
        <f>J85+J95</f>
        <v/>
      </c>
      <c r="K127" s="9">
        <f>K85+K95</f>
        <v/>
      </c>
      <c r="L127" s="9">
        <f>L85+L95</f>
        <v/>
      </c>
      <c r="M127" s="9">
        <f>M85+M95</f>
        <v/>
      </c>
      <c r="N127" s="9">
        <f>N85+N95</f>
        <v/>
      </c>
      <c r="O127" s="9">
        <f>O85+O95</f>
        <v/>
      </c>
      <c r="P127" s="9">
        <f>P85+P95</f>
        <v/>
      </c>
      <c r="Q127" s="9">
        <f>Q85+Q95</f>
        <v/>
      </c>
      <c r="R127" s="9">
        <f>R85+R95</f>
        <v/>
      </c>
    </row>
    <row r="128">
      <c r="D128" s="5" t="inlineStr">
        <is>
          <t>Total cash interest</t>
        </is>
      </c>
      <c r="I128" s="9">
        <f>I86+I96</f>
        <v/>
      </c>
      <c r="J128" s="9">
        <f>J86+J96</f>
        <v/>
      </c>
      <c r="K128" s="9">
        <f>K86+K96</f>
        <v/>
      </c>
      <c r="L128" s="9">
        <f>L86+L96</f>
        <v/>
      </c>
      <c r="M128" s="9">
        <f>M86+M96</f>
        <v/>
      </c>
      <c r="N128" s="9">
        <f>N86+N96</f>
        <v/>
      </c>
      <c r="O128" s="9">
        <f>O86+O96</f>
        <v/>
      </c>
      <c r="P128" s="9">
        <f>P86+P96</f>
        <v/>
      </c>
      <c r="Q128" s="9">
        <f>Q86+Q96</f>
        <v/>
      </c>
      <c r="R128" s="9">
        <f>R86+R96</f>
        <v/>
      </c>
    </row>
    <row r="129">
      <c r="D129" s="5" t="inlineStr">
        <is>
          <t>Total PIK interest</t>
        </is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</row>
    <row r="130">
      <c r="D130" s="5" t="inlineStr">
        <is>
          <t>Total mandatory repayment</t>
        </is>
      </c>
      <c r="I130" s="9">
        <f>I100</f>
        <v/>
      </c>
      <c r="J130" s="9">
        <f>J100</f>
        <v/>
      </c>
      <c r="K130" s="9">
        <f>K100</f>
        <v/>
      </c>
      <c r="L130" s="9">
        <f>L100</f>
        <v/>
      </c>
      <c r="M130" s="9">
        <f>M100</f>
        <v/>
      </c>
      <c r="N130" s="9">
        <f>N100</f>
        <v/>
      </c>
      <c r="O130" s="9">
        <f>O100</f>
        <v/>
      </c>
      <c r="P130" s="9">
        <f>P100</f>
        <v/>
      </c>
      <c r="Q130" s="9">
        <f>Q100</f>
        <v/>
      </c>
      <c r="R130" s="9">
        <f>R100</f>
        <v/>
      </c>
    </row>
    <row r="131">
      <c r="D131" s="4" t="inlineStr">
        <is>
          <t>Total interest (cash + PIK)</t>
        </is>
      </c>
      <c r="I131" s="10">
        <f>SUM(I128:I129)</f>
        <v/>
      </c>
      <c r="J131" s="10">
        <f>SUM(J128:J129)</f>
        <v/>
      </c>
      <c r="K131" s="10">
        <f>SUM(K128:K129)</f>
        <v/>
      </c>
      <c r="L131" s="10">
        <f>SUM(L128:L129)</f>
        <v/>
      </c>
      <c r="M131" s="10">
        <f>SUM(M128:M129)</f>
        <v/>
      </c>
      <c r="N131" s="10">
        <f>SUM(N128:N129)</f>
        <v/>
      </c>
      <c r="O131" s="10">
        <f>SUM(O128:O129)</f>
        <v/>
      </c>
      <c r="P131" s="10">
        <f>SUM(P128:P129)</f>
        <v/>
      </c>
      <c r="Q131" s="10">
        <f>SUM(Q128:Q129)</f>
        <v/>
      </c>
      <c r="R131" s="10">
        <f>SUM(R128:R129)</f>
        <v/>
      </c>
    </row>
    <row r="133">
      <c r="B133" s="1" t="inlineStr">
        <is>
          <t>Credit Metrics &amp; Leverage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5">
      <c r="C135" s="14" t="inlineStr">
        <is>
          <t>Year</t>
        </is>
      </c>
      <c r="D135" s="15" t="n"/>
      <c r="E135" s="15" t="n"/>
      <c r="F135" s="15" t="n"/>
      <c r="G135" s="15" t="n"/>
      <c r="H135" s="14" t="inlineStr">
        <is>
          <t>At Close</t>
        </is>
      </c>
      <c r="I135" s="14" t="inlineStr">
        <is>
          <t>FY2025</t>
        </is>
      </c>
      <c r="J135" s="14" t="inlineStr">
        <is>
          <t>FY2026</t>
        </is>
      </c>
      <c r="K135" s="14" t="inlineStr">
        <is>
          <t>FY2027</t>
        </is>
      </c>
      <c r="L135" s="14" t="inlineStr">
        <is>
          <t>FY2028</t>
        </is>
      </c>
      <c r="M135" s="14" t="inlineStr">
        <is>
          <t>FY2029</t>
        </is>
      </c>
      <c r="N135" s="14" t="inlineStr">
        <is>
          <t>FY2030</t>
        </is>
      </c>
      <c r="O135" s="14" t="inlineStr">
        <is>
          <t>FY2031</t>
        </is>
      </c>
      <c r="P135" s="14" t="inlineStr">
        <is>
          <t>FY2032</t>
        </is>
      </c>
      <c r="Q135" s="14" t="inlineStr">
        <is>
          <t>FY2033</t>
        </is>
      </c>
      <c r="R135" s="14" t="inlineStr">
        <is>
          <t>FY2034</t>
        </is>
      </c>
    </row>
    <row r="137">
      <c r="C137" s="4" t="inlineStr">
        <is>
          <t>Total Debt</t>
        </is>
      </c>
      <c r="H137" s="10">
        <f>H127</f>
        <v/>
      </c>
      <c r="I137" s="10">
        <f>I127</f>
        <v/>
      </c>
      <c r="J137" s="10">
        <f>J127</f>
        <v/>
      </c>
      <c r="K137" s="10">
        <f>K127</f>
        <v/>
      </c>
      <c r="L137" s="10">
        <f>L127</f>
        <v/>
      </c>
      <c r="M137" s="10">
        <f>M127</f>
        <v/>
      </c>
      <c r="N137" s="10">
        <f>N127</f>
        <v/>
      </c>
      <c r="O137" s="10">
        <f>O127</f>
        <v/>
      </c>
      <c r="P137" s="10">
        <f>P127</f>
        <v/>
      </c>
      <c r="Q137" s="10">
        <f>Q127</f>
        <v/>
      </c>
      <c r="R137" s="10">
        <f>R127</f>
        <v/>
      </c>
    </row>
    <row r="138">
      <c r="C138" s="5" t="inlineStr">
        <is>
          <t>EBITDA</t>
        </is>
      </c>
      <c r="I138" s="9">
        <f>I39</f>
        <v/>
      </c>
      <c r="J138" s="9">
        <f>J39</f>
        <v/>
      </c>
      <c r="K138" s="9">
        <f>K39</f>
        <v/>
      </c>
      <c r="L138" s="9">
        <f>L39</f>
        <v/>
      </c>
      <c r="M138" s="9">
        <f>M39</f>
        <v/>
      </c>
      <c r="N138" s="9">
        <f>N39</f>
        <v/>
      </c>
      <c r="O138" s="9">
        <f>O39</f>
        <v/>
      </c>
      <c r="P138" s="9">
        <f>P39</f>
        <v/>
      </c>
      <c r="Q138" s="9">
        <f>Q39</f>
        <v/>
      </c>
      <c r="R138" s="9">
        <f>R39</f>
        <v/>
      </c>
    </row>
    <row r="139">
      <c r="C139" s="4" t="inlineStr">
        <is>
          <t>Leverage (Debt/EBITDA)</t>
        </is>
      </c>
      <c r="I139" s="11">
        <f>IFERROR(I137/I138,"nm")</f>
        <v/>
      </c>
      <c r="J139" s="11">
        <f>IFERROR(J137/J138,"nm")</f>
        <v/>
      </c>
      <c r="K139" s="11">
        <f>IFERROR(K137/K138,"nm")</f>
        <v/>
      </c>
      <c r="L139" s="11">
        <f>IFERROR(L137/L138,"nm")</f>
        <v/>
      </c>
      <c r="M139" s="11">
        <f>IFERROR(M137/M138,"nm")</f>
        <v/>
      </c>
      <c r="N139" s="11">
        <f>IFERROR(N137/N138,"nm")</f>
        <v/>
      </c>
      <c r="O139" s="11">
        <f>IFERROR(O137/O138,"nm")</f>
        <v/>
      </c>
      <c r="P139" s="11">
        <f>IFERROR(P137/P138,"nm")</f>
        <v/>
      </c>
      <c r="Q139" s="11">
        <f>IFERROR(Q137/Q138,"nm")</f>
        <v/>
      </c>
      <c r="R139" s="11">
        <f>IFERROR(R137/R138,"nm")</f>
        <v/>
      </c>
    </row>
    <row r="140">
      <c r="C140" s="5" t="inlineStr">
        <is>
          <t>Interest Coverage (EBITDA/Int)</t>
        </is>
      </c>
      <c r="I140" s="16">
        <f>IFERROR(I138/I131,"nm")</f>
        <v/>
      </c>
      <c r="J140" s="16">
        <f>IFERROR(J138/J131,"nm")</f>
        <v/>
      </c>
      <c r="K140" s="16">
        <f>IFERROR(K138/K131,"nm")</f>
        <v/>
      </c>
      <c r="L140" s="16">
        <f>IFERROR(L138/L131,"nm")</f>
        <v/>
      </c>
      <c r="M140" s="16">
        <f>IFERROR(M138/M131,"nm")</f>
        <v/>
      </c>
      <c r="N140" s="16">
        <f>IFERROR(N138/N131,"nm")</f>
        <v/>
      </c>
      <c r="O140" s="16">
        <f>IFERROR(O138/O131,"nm")</f>
        <v/>
      </c>
      <c r="P140" s="16">
        <f>IFERROR(P138/P131,"nm")</f>
        <v/>
      </c>
      <c r="Q140" s="16">
        <f>IFERROR(Q138/Q131,"nm")</f>
        <v/>
      </c>
      <c r="R140" s="16">
        <f>IFERROR(R138/R131,"nm")</f>
        <v/>
      </c>
    </row>
    <row r="141">
      <c r="C141" s="5" t="inlineStr">
        <is>
          <t>DSCR (EBITDA/Debt Service)</t>
        </is>
      </c>
      <c r="I141" s="16">
        <f>IFERROR(I138/(I131+ABS(I130)),"nm")</f>
        <v/>
      </c>
      <c r="J141" s="16">
        <f>IFERROR(J138/(J131+ABS(J130)),"nm")</f>
        <v/>
      </c>
      <c r="K141" s="16">
        <f>IFERROR(K138/(K131+ABS(K130)),"nm")</f>
        <v/>
      </c>
      <c r="L141" s="16">
        <f>IFERROR(L138/(L131+ABS(L130)),"nm")</f>
        <v/>
      </c>
      <c r="M141" s="16">
        <f>IFERROR(M138/(M131+ABS(M130)),"nm")</f>
        <v/>
      </c>
      <c r="N141" s="16">
        <f>IFERROR(N138/(N131+ABS(N130)),"nm")</f>
        <v/>
      </c>
      <c r="O141" s="16">
        <f>IFERROR(O138/(O131+ABS(O130)),"nm")</f>
        <v/>
      </c>
      <c r="P141" s="16">
        <f>IFERROR(P138/(P131+ABS(P130)),"nm")</f>
        <v/>
      </c>
      <c r="Q141" s="16">
        <f>IFERROR(Q138/(Q131+ABS(Q130)),"nm")</f>
        <v/>
      </c>
      <c r="R141" s="16">
        <f>IFERROR(R138/(R131+ABS(R130)),"nm")</f>
        <v/>
      </c>
    </row>
    <row r="142">
      <c r="C142" s="5" t="inlineStr">
        <is>
          <t>Debt / Total Assets (22,803)</t>
        </is>
      </c>
      <c r="I142" s="13">
        <f>IFERROR(I137/22803,0)</f>
        <v/>
      </c>
      <c r="J142" s="13">
        <f>IFERROR(J137/22803,0)</f>
        <v/>
      </c>
      <c r="K142" s="13">
        <f>IFERROR(K137/22803,0)</f>
        <v/>
      </c>
      <c r="L142" s="13">
        <f>IFERROR(L137/22803,0)</f>
        <v/>
      </c>
      <c r="M142" s="13">
        <f>IFERROR(M137/22803,0)</f>
        <v/>
      </c>
      <c r="N142" s="13">
        <f>IFERROR(N137/22803,0)</f>
        <v/>
      </c>
      <c r="O142" s="13">
        <f>IFERROR(O137/22803,0)</f>
        <v/>
      </c>
      <c r="P142" s="13">
        <f>IFERROR(P137/22803,0)</f>
        <v/>
      </c>
      <c r="Q142" s="13">
        <f>IFERROR(Q137/22803,0)</f>
        <v/>
      </c>
      <c r="R142" s="13">
        <f>IFERROR(R137/22803,0)</f>
        <v/>
      </c>
    </row>
    <row r="143">
      <c r="C143" s="4" t="inlineStr">
        <is>
          <t>Shariah Compliant (&lt; 33%)?</t>
        </is>
      </c>
      <c r="I143" s="10">
        <f>IF(I142&lt;0.33,"YES","NO")</f>
        <v/>
      </c>
      <c r="J143" s="10">
        <f>IF(J142&lt;0.33,"YES","NO")</f>
        <v/>
      </c>
      <c r="K143" s="10">
        <f>IF(K142&lt;0.33,"YES","NO")</f>
        <v/>
      </c>
      <c r="L143" s="10">
        <f>IF(L142&lt;0.33,"YES","NO")</f>
        <v/>
      </c>
      <c r="M143" s="10">
        <f>IF(M142&lt;0.33,"YES","NO")</f>
        <v/>
      </c>
      <c r="N143" s="10">
        <f>IF(N142&lt;0.33,"YES","NO")</f>
        <v/>
      </c>
      <c r="O143" s="10">
        <f>IF(O142&lt;0.33,"YES","NO")</f>
        <v/>
      </c>
      <c r="P143" s="10">
        <f>IF(P142&lt;0.33,"YES","NO")</f>
        <v/>
      </c>
      <c r="Q143" s="10">
        <f>IF(Q142&lt;0.33,"YES","NO")</f>
        <v/>
      </c>
      <c r="R143" s="10">
        <f>IF(R142&lt;0.33,"YES","NO")</f>
        <v/>
      </c>
    </row>
    <row r="147">
      <c r="B147" s="1" t="inlineStr">
        <is>
          <t>Returns Analysis — ALiF PE (80% Equity)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9">
      <c r="C149" s="14" t="inlineStr">
        <is>
          <t>Year</t>
        </is>
      </c>
      <c r="D149" s="15" t="n"/>
      <c r="E149" s="14" t="inlineStr">
        <is>
          <t>Year #</t>
        </is>
      </c>
      <c r="F149" s="15" t="n"/>
      <c r="G149" s="15" t="n"/>
      <c r="H149" s="14" t="inlineStr">
        <is>
          <t>Entry</t>
        </is>
      </c>
      <c r="I149" s="14" t="inlineStr">
        <is>
          <t>FY2025</t>
        </is>
      </c>
      <c r="J149" s="14" t="inlineStr">
        <is>
          <t>FY2026</t>
        </is>
      </c>
      <c r="K149" s="14" t="inlineStr">
        <is>
          <t>FY2027</t>
        </is>
      </c>
      <c r="L149" s="14" t="inlineStr">
        <is>
          <t>FY2028</t>
        </is>
      </c>
      <c r="M149" s="14" t="inlineStr">
        <is>
          <t>FY2029</t>
        </is>
      </c>
      <c r="N149" s="14" t="inlineStr">
        <is>
          <t>FY2030</t>
        </is>
      </c>
      <c r="O149" s="14" t="inlineStr">
        <is>
          <t>FY2031</t>
        </is>
      </c>
      <c r="P149" s="14" t="inlineStr">
        <is>
          <t>FY2032</t>
        </is>
      </c>
      <c r="Q149" s="14" t="inlineStr">
        <is>
          <t>FY2033</t>
        </is>
      </c>
      <c r="R149" s="14" t="inlineStr">
        <is>
          <t>FY2034</t>
        </is>
      </c>
    </row>
    <row r="150">
      <c r="I150" s="9" t="n">
        <v>1</v>
      </c>
      <c r="J150" s="9" t="n">
        <v>2</v>
      </c>
      <c r="K150" s="9" t="n">
        <v>3</v>
      </c>
      <c r="L150" s="9" t="n">
        <v>4</v>
      </c>
      <c r="M150" s="9" t="n">
        <v>5</v>
      </c>
      <c r="N150" s="9" t="n">
        <v>6</v>
      </c>
      <c r="O150" s="9" t="n">
        <v>7</v>
      </c>
      <c r="P150" s="9" t="n">
        <v>8</v>
      </c>
      <c r="Q150" s="9" t="n">
        <v>9</v>
      </c>
      <c r="R150" s="9" t="n">
        <v>10</v>
      </c>
    </row>
    <row r="152">
      <c r="C152" s="5" t="inlineStr">
        <is>
          <t>Exit EBITDA</t>
        </is>
      </c>
      <c r="I152" s="9">
        <f>I39</f>
        <v/>
      </c>
      <c r="J152" s="9">
        <f>J39</f>
        <v/>
      </c>
      <c r="K152" s="9">
        <f>K39</f>
        <v/>
      </c>
      <c r="L152" s="9">
        <f>L39</f>
        <v/>
      </c>
      <c r="M152" s="9">
        <f>M39</f>
        <v/>
      </c>
      <c r="N152" s="9">
        <f>N39</f>
        <v/>
      </c>
      <c r="O152" s="9">
        <f>O39</f>
        <v/>
      </c>
      <c r="P152" s="9">
        <f>P39</f>
        <v/>
      </c>
      <c r="Q152" s="9">
        <f>Q39</f>
        <v/>
      </c>
      <c r="R152" s="9">
        <f>R39</f>
        <v/>
      </c>
    </row>
    <row r="153">
      <c r="C153" s="5" t="inlineStr">
        <is>
          <t>Exit EV/EBITDA Multiple</t>
        </is>
      </c>
      <c r="I153" s="16">
        <f>$L$9</f>
        <v/>
      </c>
      <c r="J153" s="16">
        <f>$L$9</f>
        <v/>
      </c>
      <c r="K153" s="16">
        <f>$L$9</f>
        <v/>
      </c>
      <c r="L153" s="16">
        <f>$L$9</f>
        <v/>
      </c>
      <c r="M153" s="16">
        <f>$L$9</f>
        <v/>
      </c>
      <c r="N153" s="16">
        <f>$L$9</f>
        <v/>
      </c>
      <c r="O153" s="16">
        <f>$L$9</f>
        <v/>
      </c>
      <c r="P153" s="16">
        <f>$L$9</f>
        <v/>
      </c>
      <c r="Q153" s="16">
        <f>$L$9</f>
        <v/>
      </c>
      <c r="R153" s="16">
        <f>$L$9</f>
        <v/>
      </c>
    </row>
    <row r="154">
      <c r="C154" s="4" t="inlineStr">
        <is>
          <t>Exit Enterprise Value</t>
        </is>
      </c>
      <c r="I154" s="10">
        <f>I152*I153</f>
        <v/>
      </c>
      <c r="J154" s="10">
        <f>J152*J153</f>
        <v/>
      </c>
      <c r="K154" s="10">
        <f>K152*K153</f>
        <v/>
      </c>
      <c r="L154" s="10">
        <f>L152*L153</f>
        <v/>
      </c>
      <c r="M154" s="10">
        <f>M152*M153</f>
        <v/>
      </c>
      <c r="N154" s="10">
        <f>N152*N153</f>
        <v/>
      </c>
      <c r="O154" s="10">
        <f>O152*O153</f>
        <v/>
      </c>
      <c r="P154" s="10">
        <f>P152*P153</f>
        <v/>
      </c>
      <c r="Q154" s="10">
        <f>Q152*Q153</f>
        <v/>
      </c>
      <c r="R154" s="10">
        <f>R152*R153</f>
        <v/>
      </c>
    </row>
    <row r="155">
      <c r="C155" s="5" t="inlineStr">
        <is>
          <t>Less: Net Debt at Exit</t>
        </is>
      </c>
      <c r="I155" s="9">
        <f>I127*-1</f>
        <v/>
      </c>
      <c r="J155" s="9">
        <f>J127*-1</f>
        <v/>
      </c>
      <c r="K155" s="9">
        <f>K127*-1</f>
        <v/>
      </c>
      <c r="L155" s="9">
        <f>L127*-1</f>
        <v/>
      </c>
      <c r="M155" s="9">
        <f>M127*-1</f>
        <v/>
      </c>
      <c r="N155" s="9">
        <f>N127*-1</f>
        <v/>
      </c>
      <c r="O155" s="9">
        <f>O127*-1</f>
        <v/>
      </c>
      <c r="P155" s="9">
        <f>P127*-1</f>
        <v/>
      </c>
      <c r="Q155" s="9">
        <f>Q127*-1</f>
        <v/>
      </c>
      <c r="R155" s="9">
        <f>R127*-1</f>
        <v/>
      </c>
    </row>
    <row r="156">
      <c r="C156" s="4" t="inlineStr">
        <is>
          <t>Exit Equity Value (100%)</t>
        </is>
      </c>
      <c r="I156" s="10">
        <f>I154+I155</f>
        <v/>
      </c>
      <c r="J156" s="10">
        <f>J154+J155</f>
        <v/>
      </c>
      <c r="K156" s="10">
        <f>K154+K155</f>
        <v/>
      </c>
      <c r="L156" s="10">
        <f>L154+L155</f>
        <v/>
      </c>
      <c r="M156" s="10">
        <f>M154+M155</f>
        <v/>
      </c>
      <c r="N156" s="10">
        <f>N154+N155</f>
        <v/>
      </c>
      <c r="O156" s="10">
        <f>O154+O155</f>
        <v/>
      </c>
      <c r="P156" s="10">
        <f>P154+P155</f>
        <v/>
      </c>
      <c r="Q156" s="10">
        <f>Q154+Q155</f>
        <v/>
      </c>
      <c r="R156" s="10">
        <f>R154+R155</f>
        <v/>
      </c>
    </row>
    <row r="157">
      <c r="C157" s="4" t="inlineStr">
        <is>
          <t>ALiF Share (80%)</t>
        </is>
      </c>
      <c r="I157" s="10">
        <f>I156*$E$17</f>
        <v/>
      </c>
      <c r="J157" s="10">
        <f>J156*$E$17</f>
        <v/>
      </c>
      <c r="K157" s="10">
        <f>K156*$E$17</f>
        <v/>
      </c>
      <c r="L157" s="10">
        <f>L156*$E$17</f>
        <v/>
      </c>
      <c r="M157" s="10">
        <f>M156*$E$17</f>
        <v/>
      </c>
      <c r="N157" s="10">
        <f>N156*$E$17</f>
        <v/>
      </c>
      <c r="O157" s="10">
        <f>O156*$E$17</f>
        <v/>
      </c>
      <c r="P157" s="10">
        <f>P156*$E$17</f>
        <v/>
      </c>
      <c r="Q157" s="10">
        <f>Q156*$E$17</f>
        <v/>
      </c>
      <c r="R157" s="10">
        <f>R156*$E$17</f>
        <v/>
      </c>
    </row>
    <row r="159">
      <c r="C159" s="5" t="inlineStr">
        <is>
          <t>ALiF Total Cash Investment</t>
        </is>
      </c>
      <c r="H159" s="9">
        <f>E16</f>
        <v/>
      </c>
      <c r="I159" s="9">
        <f>$H$159</f>
        <v/>
      </c>
      <c r="J159" s="9">
        <f>$H$159</f>
        <v/>
      </c>
      <c r="K159" s="9">
        <f>$H$159</f>
        <v/>
      </c>
      <c r="L159" s="9">
        <f>$H$159</f>
        <v/>
      </c>
      <c r="M159" s="9">
        <f>$H$159</f>
        <v/>
      </c>
      <c r="N159" s="9">
        <f>$H$159</f>
        <v/>
      </c>
      <c r="O159" s="9">
        <f>$H$159</f>
        <v/>
      </c>
      <c r="P159" s="9">
        <f>$H$159</f>
        <v/>
      </c>
      <c r="Q159" s="9">
        <f>$H$159</f>
        <v/>
      </c>
      <c r="R159" s="9">
        <f>$H$159</f>
        <v/>
      </c>
    </row>
    <row r="161">
      <c r="C161" s="4" t="inlineStr">
        <is>
          <t>MoM Multiple</t>
        </is>
      </c>
      <c r="I161" s="11">
        <f>IFERROR(I157/I159,"nm")</f>
        <v/>
      </c>
      <c r="J161" s="11">
        <f>IFERROR(J157/J159,"nm")</f>
        <v/>
      </c>
      <c r="K161" s="11">
        <f>IFERROR(K157/K159,"nm")</f>
        <v/>
      </c>
      <c r="L161" s="11">
        <f>IFERROR(L157/L159,"nm")</f>
        <v/>
      </c>
      <c r="M161" s="11">
        <f>IFERROR(M157/M159,"nm")</f>
        <v/>
      </c>
      <c r="N161" s="11">
        <f>IFERROR(N157/N159,"nm")</f>
        <v/>
      </c>
      <c r="O161" s="11">
        <f>IFERROR(O157/O159,"nm")</f>
        <v/>
      </c>
      <c r="P161" s="11">
        <f>IFERROR(P157/P159,"nm")</f>
        <v/>
      </c>
      <c r="Q161" s="11">
        <f>IFERROR(Q157/Q159,"nm")</f>
        <v/>
      </c>
      <c r="R161" s="11">
        <f>IFERROR(R157/R159,"nm")</f>
        <v/>
      </c>
    </row>
    <row r="162">
      <c r="C162" s="4" t="inlineStr">
        <is>
          <t>IRR</t>
        </is>
      </c>
      <c r="I162" s="19">
        <f>IFERROR((I161)^(1/I150)-1,"nm")</f>
        <v/>
      </c>
      <c r="J162" s="19">
        <f>IFERROR((J161)^(1/J150)-1,"nm")</f>
        <v/>
      </c>
      <c r="K162" s="19">
        <f>IFERROR((K161)^(1/K150)-1,"nm")</f>
        <v/>
      </c>
      <c r="L162" s="19">
        <f>IFERROR((L161)^(1/L150)-1,"nm")</f>
        <v/>
      </c>
      <c r="M162" s="19">
        <f>IFERROR((M161)^(1/M150)-1,"nm")</f>
        <v/>
      </c>
      <c r="N162" s="19">
        <f>IFERROR((N161)^(1/N150)-1,"nm")</f>
        <v/>
      </c>
      <c r="O162" s="19">
        <f>IFERROR((O161)^(1/O150)-1,"nm")</f>
        <v/>
      </c>
      <c r="P162" s="19">
        <f>IFERROR((P161)^(1/P150)-1,"nm")</f>
        <v/>
      </c>
      <c r="Q162" s="19">
        <f>IFERROR((Q161)^(1/Q150)-1,"nm")</f>
        <v/>
      </c>
      <c r="R162" s="19">
        <f>IFERROR((R161)^(1/R150)-1,"nm")</f>
        <v/>
      </c>
    </row>
    <row r="165">
      <c r="B165" s="1" t="inlineStr">
        <is>
          <t>Value Creation Analysis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7">
      <c r="C167" s="14" t="inlineStr">
        <is>
          <t>in OMR '000</t>
        </is>
      </c>
      <c r="D167" s="15" t="n"/>
      <c r="E167" s="15" t="n"/>
      <c r="F167" s="15" t="n"/>
      <c r="G167" s="15" t="n"/>
      <c r="H167" s="14" t="inlineStr">
        <is>
          <t>Entry</t>
        </is>
      </c>
      <c r="I167" s="14" t="inlineStr">
        <is>
          <t>FY2025</t>
        </is>
      </c>
      <c r="J167" s="14" t="inlineStr">
        <is>
          <t>FY2026</t>
        </is>
      </c>
      <c r="K167" s="14" t="inlineStr">
        <is>
          <t>FY2027</t>
        </is>
      </c>
      <c r="L167" s="14" t="inlineStr">
        <is>
          <t>FY2028</t>
        </is>
      </c>
      <c r="M167" s="14" t="inlineStr">
        <is>
          <t>FY2029</t>
        </is>
      </c>
      <c r="N167" s="14" t="inlineStr">
        <is>
          <t>FY2030</t>
        </is>
      </c>
      <c r="O167" s="14" t="inlineStr">
        <is>
          <t>FY2031</t>
        </is>
      </c>
      <c r="P167" s="14" t="inlineStr">
        <is>
          <t>FY2032</t>
        </is>
      </c>
      <c r="Q167" s="14" t="inlineStr">
        <is>
          <t>FY2033</t>
        </is>
      </c>
      <c r="R167" s="14" t="inlineStr">
        <is>
          <t>FY2034</t>
        </is>
      </c>
    </row>
    <row r="169">
      <c r="D169" s="5" t="inlineStr">
        <is>
          <t>Net sales</t>
        </is>
      </c>
      <c r="H169" s="9">
        <f>H36</f>
        <v/>
      </c>
      <c r="I169" s="9">
        <f>I36</f>
        <v/>
      </c>
      <c r="J169" s="9">
        <f>J36</f>
        <v/>
      </c>
      <c r="K169" s="9">
        <f>K36</f>
        <v/>
      </c>
      <c r="L169" s="9">
        <f>L36</f>
        <v/>
      </c>
      <c r="M169" s="9">
        <f>M36</f>
        <v/>
      </c>
      <c r="N169" s="9">
        <f>N36</f>
        <v/>
      </c>
      <c r="O169" s="9">
        <f>O36</f>
        <v/>
      </c>
      <c r="P169" s="9">
        <f>P36</f>
        <v/>
      </c>
      <c r="Q169" s="9">
        <f>Q36</f>
        <v/>
      </c>
      <c r="R169" s="9">
        <f>R36</f>
        <v/>
      </c>
    </row>
    <row r="170">
      <c r="D170" s="5" t="inlineStr">
        <is>
          <t>EBITDA</t>
        </is>
      </c>
      <c r="H170" s="9">
        <f>H39</f>
        <v/>
      </c>
      <c r="I170" s="9">
        <f>I39</f>
        <v/>
      </c>
      <c r="J170" s="9">
        <f>J39</f>
        <v/>
      </c>
      <c r="K170" s="9">
        <f>K39</f>
        <v/>
      </c>
      <c r="L170" s="9">
        <f>L39</f>
        <v/>
      </c>
      <c r="M170" s="9">
        <f>M39</f>
        <v/>
      </c>
      <c r="N170" s="9">
        <f>N39</f>
        <v/>
      </c>
      <c r="O170" s="9">
        <f>O39</f>
        <v/>
      </c>
      <c r="P170" s="9">
        <f>P39</f>
        <v/>
      </c>
      <c r="Q170" s="9">
        <f>Q39</f>
        <v/>
      </c>
      <c r="R170" s="9">
        <f>R39</f>
        <v/>
      </c>
    </row>
    <row r="171">
      <c r="D171" s="5" t="inlineStr">
        <is>
          <t>Margins</t>
        </is>
      </c>
      <c r="H171" s="13">
        <f>H40</f>
        <v/>
      </c>
      <c r="I171" s="13">
        <f>I40</f>
        <v/>
      </c>
      <c r="J171" s="13">
        <f>J40</f>
        <v/>
      </c>
      <c r="K171" s="13">
        <f>K40</f>
        <v/>
      </c>
      <c r="L171" s="13">
        <f>L40</f>
        <v/>
      </c>
      <c r="M171" s="13">
        <f>M40</f>
        <v/>
      </c>
      <c r="N171" s="13">
        <f>N40</f>
        <v/>
      </c>
      <c r="O171" s="13">
        <f>O40</f>
        <v/>
      </c>
      <c r="P171" s="13">
        <f>P40</f>
        <v/>
      </c>
      <c r="Q171" s="13">
        <f>Q40</f>
        <v/>
      </c>
      <c r="R171" s="13">
        <f>R40</f>
        <v/>
      </c>
    </row>
    <row r="172">
      <c r="D172" s="5" t="inlineStr">
        <is>
          <t>Entry Multiple</t>
        </is>
      </c>
      <c r="I172" s="16">
        <f>$L$12</f>
        <v/>
      </c>
      <c r="J172" s="16">
        <f>$L$12</f>
        <v/>
      </c>
      <c r="K172" s="16">
        <f>$L$12</f>
        <v/>
      </c>
      <c r="L172" s="16">
        <f>$L$12</f>
        <v/>
      </c>
      <c r="M172" s="16">
        <f>$L$12</f>
        <v/>
      </c>
      <c r="N172" s="16">
        <f>$L$12</f>
        <v/>
      </c>
      <c r="O172" s="16">
        <f>$L$12</f>
        <v/>
      </c>
      <c r="P172" s="16">
        <f>$L$12</f>
        <v/>
      </c>
      <c r="Q172" s="16">
        <f>$L$12</f>
        <v/>
      </c>
      <c r="R172" s="16">
        <f>$L$12</f>
        <v/>
      </c>
    </row>
    <row r="173">
      <c r="D173" s="5" t="inlineStr">
        <is>
          <t>Exit Multiple</t>
        </is>
      </c>
      <c r="I173" s="16">
        <f>$L$9</f>
        <v/>
      </c>
      <c r="J173" s="16">
        <f>$L$9</f>
        <v/>
      </c>
      <c r="K173" s="16">
        <f>$L$9</f>
        <v/>
      </c>
      <c r="L173" s="16">
        <f>$L$9</f>
        <v/>
      </c>
      <c r="M173" s="16">
        <f>$L$9</f>
        <v/>
      </c>
      <c r="N173" s="16">
        <f>$L$9</f>
        <v/>
      </c>
      <c r="O173" s="16">
        <f>$L$9</f>
        <v/>
      </c>
      <c r="P173" s="16">
        <f>$L$9</f>
        <v/>
      </c>
      <c r="Q173" s="16">
        <f>$L$9</f>
        <v/>
      </c>
      <c r="R173" s="16">
        <f>$L$9</f>
        <v/>
      </c>
    </row>
    <row r="174">
      <c r="D174" s="5" t="inlineStr">
        <is>
          <t>Net Debt</t>
        </is>
      </c>
      <c r="H174" s="9">
        <f>H127</f>
        <v/>
      </c>
      <c r="I174" s="9">
        <f>I127</f>
        <v/>
      </c>
      <c r="J174" s="9">
        <f>J127</f>
        <v/>
      </c>
      <c r="K174" s="9">
        <f>K127</f>
        <v/>
      </c>
      <c r="L174" s="9">
        <f>L127</f>
        <v/>
      </c>
      <c r="M174" s="9">
        <f>M127</f>
        <v/>
      </c>
      <c r="N174" s="9">
        <f>N127</f>
        <v/>
      </c>
      <c r="O174" s="9">
        <f>O127</f>
        <v/>
      </c>
      <c r="P174" s="9">
        <f>P127</f>
        <v/>
      </c>
      <c r="Q174" s="9">
        <f>Q127</f>
        <v/>
      </c>
      <c r="R174" s="9">
        <f>R127</f>
        <v/>
      </c>
    </row>
    <row r="175">
      <c r="D175" s="5" t="inlineStr">
        <is>
          <t>Fees</t>
        </is>
      </c>
      <c r="I175" s="9">
        <f>E26+E27</f>
        <v/>
      </c>
      <c r="J175" s="9">
        <f>E26+E27</f>
        <v/>
      </c>
      <c r="K175" s="9">
        <f>E26+E27</f>
        <v/>
      </c>
      <c r="L175" s="9">
        <f>E26+E27</f>
        <v/>
      </c>
      <c r="M175" s="9">
        <f>E26+E27</f>
        <v/>
      </c>
      <c r="N175" s="9">
        <f>E26+E27</f>
        <v/>
      </c>
      <c r="O175" s="9">
        <f>E26+E27</f>
        <v/>
      </c>
      <c r="P175" s="9">
        <f>E26+E27</f>
        <v/>
      </c>
      <c r="Q175" s="9">
        <f>E26+E27</f>
        <v/>
      </c>
      <c r="R175" s="9">
        <f>E26+E27</f>
        <v/>
      </c>
    </row>
    <row r="177">
      <c r="D177" s="5" t="inlineStr">
        <is>
          <t>Value from Revenue Growth</t>
        </is>
      </c>
      <c r="I177" s="9">
        <f>(I169-$H$169)*$H$171*I173*$E$17</f>
        <v/>
      </c>
      <c r="J177" s="9">
        <f>(J169-$H$169)*$H$171*J173*$E$17</f>
        <v/>
      </c>
      <c r="K177" s="9">
        <f>(K169-$H$169)*$H$171*K173*$E$17</f>
        <v/>
      </c>
      <c r="L177" s="9">
        <f>(L169-$H$169)*$H$171*L173*$E$17</f>
        <v/>
      </c>
      <c r="M177" s="9">
        <f>(M169-$H$169)*$H$171*M173*$E$17</f>
        <v/>
      </c>
      <c r="N177" s="9">
        <f>(N169-$H$169)*$H$171*N173*$E$17</f>
        <v/>
      </c>
      <c r="O177" s="9">
        <f>(O169-$H$169)*$H$171*O173*$E$17</f>
        <v/>
      </c>
      <c r="P177" s="9">
        <f>(P169-$H$169)*$H$171*P173*$E$17</f>
        <v/>
      </c>
      <c r="Q177" s="9">
        <f>(Q169-$H$169)*$H$171*Q173*$E$17</f>
        <v/>
      </c>
      <c r="R177" s="9">
        <f>(R169-$H$169)*$H$171*R173*$E$17</f>
        <v/>
      </c>
    </row>
    <row r="178">
      <c r="D178" s="5" t="inlineStr">
        <is>
          <t>Value from Margin Expansion</t>
        </is>
      </c>
      <c r="I178" s="9">
        <f>(I171-$H$171)*I169*I173*$E$17</f>
        <v/>
      </c>
      <c r="J178" s="9">
        <f>(J171-$H$171)*J169*J173*$E$17</f>
        <v/>
      </c>
      <c r="K178" s="9">
        <f>(K171-$H$171)*K169*K173*$E$17</f>
        <v/>
      </c>
      <c r="L178" s="9">
        <f>(L171-$H$171)*L169*L173*$E$17</f>
        <v/>
      </c>
      <c r="M178" s="9">
        <f>(M171-$H$171)*M169*M173*$E$17</f>
        <v/>
      </c>
      <c r="N178" s="9">
        <f>(N171-$H$171)*N169*N173*$E$17</f>
        <v/>
      </c>
      <c r="O178" s="9">
        <f>(O171-$H$171)*O169*O173*$E$17</f>
        <v/>
      </c>
      <c r="P178" s="9">
        <f>(P171-$H$171)*P169*P173*$E$17</f>
        <v/>
      </c>
      <c r="Q178" s="9">
        <f>(Q171-$H$171)*Q169*Q173*$E$17</f>
        <v/>
      </c>
      <c r="R178" s="9">
        <f>(R171-$H$171)*R169*R173*$E$17</f>
        <v/>
      </c>
    </row>
    <row r="179">
      <c r="D179" s="5" t="inlineStr">
        <is>
          <t>Value from Multiple Change</t>
        </is>
      </c>
      <c r="I179" s="9">
        <f>(I173-$L$12)*$H$170*$E$17</f>
        <v/>
      </c>
      <c r="J179" s="9">
        <f>(J173-$L$12)*$H$170*$E$17</f>
        <v/>
      </c>
      <c r="K179" s="9">
        <f>(K173-$L$12)*$H$170*$E$17</f>
        <v/>
      </c>
      <c r="L179" s="9">
        <f>(L173-$L$12)*$H$170*$E$17</f>
        <v/>
      </c>
      <c r="M179" s="9">
        <f>(M173-$L$12)*$H$170*$E$17</f>
        <v/>
      </c>
      <c r="N179" s="9">
        <f>(N173-$L$12)*$H$170*$E$17</f>
        <v/>
      </c>
      <c r="O179" s="9">
        <f>(O173-$L$12)*$H$170*$E$17</f>
        <v/>
      </c>
      <c r="P179" s="9">
        <f>(P173-$L$12)*$H$170*$E$17</f>
        <v/>
      </c>
      <c r="Q179" s="9">
        <f>(Q173-$L$12)*$H$170*$E$17</f>
        <v/>
      </c>
      <c r="R179" s="9">
        <f>(R173-$L$12)*$H$170*$E$17</f>
        <v/>
      </c>
    </row>
    <row r="180">
      <c r="D180" s="5" t="inlineStr">
        <is>
          <t>Value from Deleverage</t>
        </is>
      </c>
      <c r="I180" s="9">
        <f>($H$174-I174)*$E$17</f>
        <v/>
      </c>
      <c r="J180" s="9">
        <f>($H$174-J174)*$E$17</f>
        <v/>
      </c>
      <c r="K180" s="9">
        <f>($H$174-K174)*$E$17</f>
        <v/>
      </c>
      <c r="L180" s="9">
        <f>($H$174-L174)*$E$17</f>
        <v/>
      </c>
      <c r="M180" s="9">
        <f>($H$174-M174)*$E$17</f>
        <v/>
      </c>
      <c r="N180" s="9">
        <f>($H$174-N174)*$E$17</f>
        <v/>
      </c>
      <c r="O180" s="9">
        <f>($H$174-O174)*$E$17</f>
        <v/>
      </c>
      <c r="P180" s="9">
        <f>($H$174-P174)*$E$17</f>
        <v/>
      </c>
      <c r="Q180" s="9">
        <f>($H$174-Q174)*$E$17</f>
        <v/>
      </c>
      <c r="R180" s="9">
        <f>($H$174-R174)*$E$17</f>
        <v/>
      </c>
    </row>
    <row r="181">
      <c r="D181" s="5" t="inlineStr">
        <is>
          <t>Fees Value Erosion</t>
        </is>
      </c>
      <c r="I181" s="9">
        <f>I175*-1</f>
        <v/>
      </c>
      <c r="J181" s="9">
        <f>J175*-1</f>
        <v/>
      </c>
      <c r="K181" s="9">
        <f>K175*-1</f>
        <v/>
      </c>
      <c r="L181" s="9">
        <f>L175*-1</f>
        <v/>
      </c>
      <c r="M181" s="9">
        <f>M175*-1</f>
        <v/>
      </c>
      <c r="N181" s="9">
        <f>N175*-1</f>
        <v/>
      </c>
      <c r="O181" s="9">
        <f>O175*-1</f>
        <v/>
      </c>
      <c r="P181" s="9">
        <f>P175*-1</f>
        <v/>
      </c>
      <c r="Q181" s="9">
        <f>Q175*-1</f>
        <v/>
      </c>
      <c r="R181" s="9">
        <f>R175*-1</f>
        <v/>
      </c>
    </row>
    <row r="182">
      <c r="D182" s="4" t="inlineStr">
        <is>
          <t>Total Value Created</t>
        </is>
      </c>
      <c r="I182" s="10">
        <f>SUM(I177:I181)</f>
        <v/>
      </c>
      <c r="J182" s="10">
        <f>SUM(J177:J181)</f>
        <v/>
      </c>
      <c r="K182" s="10">
        <f>SUM(K177:K181)</f>
        <v/>
      </c>
      <c r="L182" s="10">
        <f>SUM(L177:L181)</f>
        <v/>
      </c>
      <c r="M182" s="10">
        <f>SUM(M177:M181)</f>
        <v/>
      </c>
      <c r="N182" s="10">
        <f>SUM(N177:N181)</f>
        <v/>
      </c>
      <c r="O182" s="10">
        <f>SUM(O177:O181)</f>
        <v/>
      </c>
      <c r="P182" s="10">
        <f>SUM(P177:P181)</f>
        <v/>
      </c>
      <c r="Q182" s="10">
        <f>SUM(Q177:Q181)</f>
        <v/>
      </c>
      <c r="R182" s="10">
        <f>SUM(R177:R181)</f>
        <v/>
      </c>
    </row>
    <row r="183">
      <c r="D183" s="20" t="inlineStr">
        <is>
          <t>Check</t>
        </is>
      </c>
      <c r="I183" s="21">
        <f>I157-$H$159-I182</f>
        <v/>
      </c>
      <c r="J183" s="21">
        <f>J157-$H$159-J182</f>
        <v/>
      </c>
      <c r="K183" s="21">
        <f>K157-$H$159-K182</f>
        <v/>
      </c>
      <c r="L183" s="21">
        <f>L157-$H$159-L182</f>
        <v/>
      </c>
      <c r="M183" s="21">
        <f>M157-$H$159-M182</f>
        <v/>
      </c>
      <c r="N183" s="21">
        <f>N157-$H$159-N182</f>
        <v/>
      </c>
      <c r="O183" s="21">
        <f>O157-$H$159-O182</f>
        <v/>
      </c>
      <c r="P183" s="21">
        <f>P157-$H$159-P182</f>
        <v/>
      </c>
      <c r="Q183" s="21">
        <f>Q157-$H$159-Q182</f>
        <v/>
      </c>
      <c r="R183" s="21">
        <f>R157-$H$159-R182</f>
        <v/>
      </c>
    </row>
    <row r="186">
      <c r="B186" s="1" t="inlineStr">
        <is>
          <t>SRFF-I v4.0 Verdict: Pre vs. Post Restructuring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8">
      <c r="C188" s="14" t="inlineStr">
        <is>
          <t>Metric</t>
        </is>
      </c>
      <c r="D188" s="15" t="n"/>
      <c r="E188" s="15" t="n"/>
      <c r="F188" s="15" t="n"/>
      <c r="G188" s="15" t="n"/>
      <c r="H188" s="14" t="inlineStr">
        <is>
          <t>Pre-Restructuring</t>
        </is>
      </c>
      <c r="I188" s="15" t="n"/>
      <c r="J188" s="15" t="n"/>
      <c r="K188" s="15" t="n"/>
      <c r="L188" s="14" t="inlineStr">
        <is>
          <t>Post-Restructuring (Yr 5)</t>
        </is>
      </c>
      <c r="M188" s="15" t="n"/>
      <c r="N188" s="15" t="n"/>
      <c r="O188" s="15" t="n"/>
      <c r="P188" s="14" t="inlineStr">
        <is>
          <t>Change</t>
        </is>
      </c>
      <c r="Q188" s="15" t="n"/>
      <c r="R188" s="15" t="n"/>
    </row>
    <row r="190">
      <c r="C190" s="5" t="inlineStr">
        <is>
          <t>Total Debt (OMR '000)</t>
        </is>
      </c>
      <c r="H190" s="9" t="n">
        <v>20314.9</v>
      </c>
      <c r="L190" s="10">
        <f>M127</f>
        <v/>
      </c>
    </row>
    <row r="191">
      <c r="C191" s="5" t="inlineStr">
        <is>
          <t>Debt / Total Assets</t>
        </is>
      </c>
      <c r="H191" s="13" t="n">
        <v>0.8909</v>
      </c>
      <c r="L191" s="19">
        <f>IFERROR(L190/22803,0)</f>
        <v/>
      </c>
    </row>
    <row r="192">
      <c r="C192" s="5" t="inlineStr">
        <is>
          <t>EBITDA (OMR '000)</t>
        </is>
      </c>
      <c r="H192" s="9" t="n">
        <v>18</v>
      </c>
      <c r="L192" s="10">
        <f>M39</f>
        <v/>
      </c>
    </row>
    <row r="193">
      <c r="C193" s="5" t="inlineStr">
        <is>
          <t>EBITDA Margin</t>
        </is>
      </c>
      <c r="H193" s="13" t="n">
        <v>0.002</v>
      </c>
      <c r="L193" s="19">
        <f>M40</f>
        <v/>
      </c>
    </row>
    <row r="194">
      <c r="C194" s="5" t="inlineStr">
        <is>
          <t>Interest Coverage Ratio</t>
        </is>
      </c>
      <c r="H194" s="16" t="n">
        <v>1.13</v>
      </c>
      <c r="L194" s="11">
        <f>IFERROR(M39/M131,"nm")</f>
        <v/>
      </c>
    </row>
    <row r="195">
      <c r="C195" s="5" t="inlineStr">
        <is>
          <t>Leverage (Debt/EBITDA)</t>
        </is>
      </c>
      <c r="H195" s="9" t="inlineStr">
        <is>
          <t>nm (EBITDA~0)</t>
        </is>
      </c>
      <c r="L195" s="11">
        <f>IFERROR(L190/L192,"nm")</f>
        <v/>
      </c>
    </row>
    <row r="196">
      <c r="C196" s="5" t="inlineStr">
        <is>
          <t>Shariah Compliant?</t>
        </is>
      </c>
      <c r="H196" s="9" t="inlineStr">
        <is>
          <t>NO (89.1%)</t>
        </is>
      </c>
      <c r="L196" s="10">
        <f>IF(L191&lt;0.33,"YES — COMPLIANT","NO")</f>
        <v/>
      </c>
    </row>
    <row r="197">
      <c r="C197" s="5" t="inlineStr">
        <is>
          <t>Synthetic Credit Rating</t>
        </is>
      </c>
      <c r="H197" s="9" t="inlineStr">
        <is>
          <t>CCC</t>
        </is>
      </c>
      <c r="L197" s="10">
        <f>IF(L194&gt;8.5,"AAA",IF(L194&gt;6.5,"AA",IF(L194&gt;5.5,"A+",IF(L194&gt;4.25,"A",IF(L194&gt;3,"A-",IF(L194&gt;2.5,"BBB",IF(L194&gt;2.25,"BB+",IF(L194&gt;2,"BB",IF(L194&gt;1.75,"B+",IF(L194&gt;1.5,"B",IF(L194&gt;1.25,"B-",IF(L194&gt;0.8,"CCC","D"))))))))))))</f>
        <v/>
      </c>
    </row>
    <row r="198">
      <c r="C198" s="5" t="inlineStr">
        <is>
          <t>SRFF-I Composite V4</t>
        </is>
      </c>
      <c r="H198" s="9" t="inlineStr">
        <is>
          <t>24.16% — NO-GO</t>
        </is>
      </c>
      <c r="L198" s="10" t="inlineStr">
        <is>
          <t>Recalculate with post-restr. inputs</t>
        </is>
      </c>
    </row>
    <row r="199">
      <c r="C199" s="5" t="inlineStr">
        <is>
          <t>ALiF MoM (Year 5)</t>
        </is>
      </c>
      <c r="H199" s="9" t="inlineStr">
        <is>
          <t>N/A</t>
        </is>
      </c>
      <c r="L199" s="11">
        <f>M161</f>
        <v/>
      </c>
    </row>
    <row r="200">
      <c r="C200" s="5" t="inlineStr">
        <is>
          <t>ALiF IRR (Year 5)</t>
        </is>
      </c>
      <c r="H200" s="9" t="inlineStr">
        <is>
          <t>N/A</t>
        </is>
      </c>
      <c r="L200" s="19">
        <f>M162</f>
        <v/>
      </c>
    </row>
    <row r="203">
      <c r="B203" s="1" t="inlineStr">
        <is>
          <t>Exit Multiple Sensitivity — IRR at Year 5 Exit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5">
      <c r="C205" s="14" t="inlineStr">
        <is>
          <t>Exit Multiple →</t>
        </is>
      </c>
      <c r="D205" s="15" t="n"/>
      <c r="E205" s="15" t="n"/>
      <c r="F205" s="15" t="n"/>
      <c r="G205" s="15" t="n"/>
      <c r="H205" s="15" t="n"/>
      <c r="I205" s="23" t="n">
        <v>4</v>
      </c>
      <c r="J205" s="23" t="n">
        <v>5</v>
      </c>
      <c r="K205" s="23" t="n">
        <v>5.5</v>
      </c>
      <c r="L205" s="23" t="n">
        <v>6</v>
      </c>
      <c r="M205" s="23" t="n">
        <v>6.5</v>
      </c>
      <c r="N205" s="23" t="n">
        <v>7</v>
      </c>
      <c r="O205" s="23" t="n">
        <v>8</v>
      </c>
      <c r="P205" s="23" t="n">
        <v>9</v>
      </c>
      <c r="Q205" s="23" t="n">
        <v>10</v>
      </c>
      <c r="R205" s="15" t="n"/>
    </row>
    <row r="207">
      <c r="C207" s="5" t="inlineStr">
        <is>
          <t>Exit EBITDA (Year 5)</t>
        </is>
      </c>
      <c r="H207" s="9">
        <f>M39</f>
        <v/>
      </c>
    </row>
    <row r="208">
      <c r="C208" s="5" t="inlineStr">
        <is>
          <t>Exit EV</t>
        </is>
      </c>
      <c r="I208" s="9">
        <f>$H$207*4.0</f>
        <v/>
      </c>
      <c r="J208" s="9">
        <f>$H$207*5.0</f>
        <v/>
      </c>
      <c r="K208" s="9">
        <f>$H$207*5.5</f>
        <v/>
      </c>
      <c r="L208" s="9">
        <f>$H$207*6.0</f>
        <v/>
      </c>
      <c r="M208" s="9">
        <f>$H$207*6.5</f>
        <v/>
      </c>
      <c r="N208" s="9">
        <f>$H$207*7.0</f>
        <v/>
      </c>
      <c r="O208" s="9">
        <f>$H$207*8.0</f>
        <v/>
      </c>
      <c r="P208" s="9">
        <f>$H$207*9.0</f>
        <v/>
      </c>
      <c r="Q208" s="9">
        <f>$H$207*10.0</f>
        <v/>
      </c>
    </row>
    <row r="209">
      <c r="C209" s="5" t="inlineStr">
        <is>
          <t>Less: Net Debt (Year 5)</t>
        </is>
      </c>
      <c r="I209" s="9">
        <f>M127*-1</f>
        <v/>
      </c>
      <c r="J209" s="9">
        <f>M127*-1</f>
        <v/>
      </c>
      <c r="K209" s="9">
        <f>M127*-1</f>
        <v/>
      </c>
      <c r="L209" s="9">
        <f>M127*-1</f>
        <v/>
      </c>
      <c r="M209" s="9">
        <f>M127*-1</f>
        <v/>
      </c>
      <c r="N209" s="9">
        <f>M127*-1</f>
        <v/>
      </c>
      <c r="O209" s="9">
        <f>M127*-1</f>
        <v/>
      </c>
      <c r="P209" s="9">
        <f>M127*-1</f>
        <v/>
      </c>
      <c r="Q209" s="9">
        <f>M127*-1</f>
        <v/>
      </c>
    </row>
    <row r="210">
      <c r="C210" s="4" t="inlineStr">
        <is>
          <t>Equity Value (100%)</t>
        </is>
      </c>
      <c r="I210" s="10">
        <f>I208+I209</f>
        <v/>
      </c>
      <c r="J210" s="10">
        <f>J208+J209</f>
        <v/>
      </c>
      <c r="K210" s="10">
        <f>K208+K209</f>
        <v/>
      </c>
      <c r="L210" s="10">
        <f>L208+L209</f>
        <v/>
      </c>
      <c r="M210" s="10">
        <f>M208+M209</f>
        <v/>
      </c>
      <c r="N210" s="10">
        <f>N208+N209</f>
        <v/>
      </c>
      <c r="O210" s="10">
        <f>O208+O209</f>
        <v/>
      </c>
      <c r="P210" s="10">
        <f>P208+P209</f>
        <v/>
      </c>
      <c r="Q210" s="10">
        <f>Q208+Q209</f>
        <v/>
      </c>
    </row>
    <row r="211">
      <c r="C211" s="4" t="inlineStr">
        <is>
          <t>ALiF Share (80%)</t>
        </is>
      </c>
      <c r="I211" s="10">
        <f>I210*$E$17</f>
        <v/>
      </c>
      <c r="J211" s="10">
        <f>J210*$E$17</f>
        <v/>
      </c>
      <c r="K211" s="10">
        <f>K210*$E$17</f>
        <v/>
      </c>
      <c r="L211" s="10">
        <f>L210*$E$17</f>
        <v/>
      </c>
      <c r="M211" s="10">
        <f>M210*$E$17</f>
        <v/>
      </c>
      <c r="N211" s="10">
        <f>N210*$E$17</f>
        <v/>
      </c>
      <c r="O211" s="10">
        <f>O210*$E$17</f>
        <v/>
      </c>
      <c r="P211" s="10">
        <f>P210*$E$17</f>
        <v/>
      </c>
      <c r="Q211" s="10">
        <f>Q210*$E$17</f>
        <v/>
      </c>
    </row>
    <row r="212">
      <c r="C212" s="4" t="inlineStr">
        <is>
          <t>MoM Multiple</t>
        </is>
      </c>
      <c r="I212" s="11">
        <f>IFERROR(I211/$H$159,"nm")</f>
        <v/>
      </c>
      <c r="J212" s="11">
        <f>IFERROR(J211/$H$159,"nm")</f>
        <v/>
      </c>
      <c r="K212" s="11">
        <f>IFERROR(K211/$H$159,"nm")</f>
        <v/>
      </c>
      <c r="L212" s="11">
        <f>IFERROR(L211/$H$159,"nm")</f>
        <v/>
      </c>
      <c r="M212" s="11">
        <f>IFERROR(M211/$H$159,"nm")</f>
        <v/>
      </c>
      <c r="N212" s="11">
        <f>IFERROR(N211/$H$159,"nm")</f>
        <v/>
      </c>
      <c r="O212" s="11">
        <f>IFERROR(O211/$H$159,"nm")</f>
        <v/>
      </c>
      <c r="P212" s="11">
        <f>IFERROR(P211/$H$159,"nm")</f>
        <v/>
      </c>
      <c r="Q212" s="11">
        <f>IFERROR(Q211/$H$159,"nm")</f>
        <v/>
      </c>
    </row>
    <row r="213">
      <c r="C213" s="4" t="inlineStr">
        <is>
          <t>IRR (5-Year)</t>
        </is>
      </c>
      <c r="I213" s="19">
        <f>IFERROR((I212)^(1/5)-1,"nm")</f>
        <v/>
      </c>
      <c r="J213" s="19">
        <f>IFERROR((J212)^(1/5)-1,"nm")</f>
        <v/>
      </c>
      <c r="K213" s="19">
        <f>IFERROR((K212)^(1/5)-1,"nm")</f>
        <v/>
      </c>
      <c r="L213" s="19">
        <f>IFERROR((L212)^(1/5)-1,"nm")</f>
        <v/>
      </c>
      <c r="M213" s="19">
        <f>IFERROR((M212)^(1/5)-1,"nm")</f>
        <v/>
      </c>
      <c r="N213" s="19">
        <f>IFERROR((N212)^(1/5)-1,"nm")</f>
        <v/>
      </c>
      <c r="O213" s="19">
        <f>IFERROR((O212)^(1/5)-1,"nm")</f>
        <v/>
      </c>
      <c r="P213" s="19">
        <f>IFERROR((P212)^(1/5)-1,"nm")</f>
        <v/>
      </c>
      <c r="Q213" s="19">
        <f>IFERROR((Q212)^(1/5)-1,"nm")</f>
        <v/>
      </c>
    </row>
    <row r="216">
      <c r="C216" s="24" t="inlineStr">
        <is>
          <t>MURSHIDI Ai Disclaimer:</t>
        </is>
      </c>
    </row>
    <row r="217">
      <c r="C217" s="25" t="inlineStr">
        <is>
          <t>This analysis was prepared with the assistance of Murshidi AI. All conclusions represent analytical outputs and do not constitute financial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2026-04-19T12:19:39Z</dcterms:created>
  <dcterms:modified xmlns:dcterms="http://purl.org/dc/terms/" xmlns:xsi="http://www.w3.org/2001/XMLSchema-instance" xsi:type="dcterms:W3CDTF">2026-04-19T12:19:39Z</dcterms:modified>
</cp:coreProperties>
</file>