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User Guide" sheetId="1" state="visible" r:id="rId1"/>
    <sheet xmlns:r="http://schemas.openxmlformats.org/officeDocument/2006/relationships" name="Deal Input" sheetId="2" state="visible" r:id="rId2"/>
    <sheet xmlns:r="http://schemas.openxmlformats.org/officeDocument/2006/relationships" name="Damodaran Adjustments" sheetId="3" state="visible" r:id="rId3"/>
    <sheet xmlns:r="http://schemas.openxmlformats.org/officeDocument/2006/relationships" name="Scorecard" sheetId="4" state="visible" r:id="rId4"/>
    <sheet xmlns:r="http://schemas.openxmlformats.org/officeDocument/2006/relationships" name="Shariah Screening" sheetId="5" state="visible" r:id="rId5"/>
    <sheet xmlns:r="http://schemas.openxmlformats.org/officeDocument/2006/relationships" name="Credit Risk" sheetId="6" state="visible" r:id="rId6"/>
    <sheet xmlns:r="http://schemas.openxmlformats.org/officeDocument/2006/relationships" name="Hazard Model" sheetId="7" state="visible" r:id="rId7"/>
    <sheet xmlns:r="http://schemas.openxmlformats.org/officeDocument/2006/relationships" name="Fund Model" sheetId="8" state="visible" r:id="rId8"/>
    <sheet xmlns:r="http://schemas.openxmlformats.org/officeDocument/2006/relationships" name="Stress Test" sheetId="9" state="visible" r:id="rId9"/>
    <sheet xmlns:r="http://schemas.openxmlformats.org/officeDocument/2006/relationships" name="Summary" sheetId="10" state="visible" r:id="rId10"/>
    <sheet xmlns:r="http://schemas.openxmlformats.org/officeDocument/2006/relationships" name="Formulas Reference" sheetId="11" state="visible" r:id="rId1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0.00x"/>
    <numFmt numFmtId="165" formatCode="0.0000"/>
    <numFmt numFmtId="166" formatCode="0.0x"/>
  </numFmts>
  <fonts count="20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i val="1"/>
      <color rgb="00285C28"/>
      <sz val="12"/>
    </font>
    <font>
      <name val="Calibri"/>
      <b val="1"/>
      <color rgb="00FFFFFF"/>
      <sz val="12"/>
    </font>
    <font>
      <name val="Calibri"/>
      <sz val="11"/>
    </font>
    <font>
      <name val="Calibri"/>
      <b val="1"/>
      <sz val="11"/>
    </font>
    <font>
      <name val="Calibri"/>
      <i val="1"/>
      <color rgb="00808080"/>
      <sz val="9"/>
    </font>
    <font>
      <name val="Calibri"/>
      <i val="1"/>
      <color rgb="00285C28"/>
      <sz val="11"/>
    </font>
    <font>
      <name val="Calibri"/>
      <b val="1"/>
      <sz val="12"/>
    </font>
    <font>
      <name val="Calibri"/>
      <b val="1"/>
      <sz val="14"/>
    </font>
    <font>
      <name val="Calibri"/>
      <b val="1"/>
      <color rgb="00FFFFFF"/>
      <sz val="11"/>
    </font>
    <font>
      <name val="Calibri"/>
      <b val="1"/>
      <sz val="16"/>
    </font>
    <font>
      <name val="Calibri"/>
      <b val="1"/>
      <color rgb="00FFFFFF"/>
      <sz val="14"/>
    </font>
    <font>
      <name val="Calibri"/>
      <b val="1"/>
      <color rgb="00285C28"/>
      <sz val="11"/>
    </font>
    <font>
      <name val="Calibri"/>
      <b val="1"/>
      <sz val="18"/>
    </font>
    <font>
      <name val="Calibri"/>
      <b val="1"/>
      <color rgb="00FFFFFF"/>
      <sz val="18"/>
    </font>
    <font>
      <name val="Consolas"/>
      <sz val="10"/>
    </font>
    <font>
      <b val="1"/>
      <color rgb="00FFFFFF"/>
      <sz val="12"/>
    </font>
    <font>
      <b val="1"/>
    </font>
    <font>
      <b val="1"/>
      <color rgb="00FFFFFF"/>
      <sz val="11"/>
    </font>
  </fonts>
  <fills count="11">
    <fill>
      <patternFill/>
    </fill>
    <fill>
      <patternFill patternType="gray125"/>
    </fill>
    <fill>
      <patternFill patternType="solid">
        <fgColor rgb="00285C28"/>
        <bgColor rgb="00285C28"/>
      </patternFill>
    </fill>
    <fill>
      <patternFill patternType="solid">
        <fgColor rgb="00E87722"/>
        <bgColor rgb="00E87722"/>
      </patternFill>
    </fill>
    <fill>
      <patternFill patternType="solid">
        <fgColor rgb="00CCE5FF"/>
        <bgColor rgb="00CCE5FF"/>
      </patternFill>
    </fill>
    <fill>
      <patternFill patternType="solid">
        <fgColor rgb="00E2EFDA"/>
        <bgColor rgb="00E2EFDA"/>
      </patternFill>
    </fill>
    <fill>
      <patternFill patternType="solid">
        <fgColor rgb="002F5233"/>
        <bgColor rgb="002F5233"/>
      </patternFill>
    </fill>
    <fill>
      <patternFill patternType="solid">
        <fgColor rgb="00C6E0B4"/>
        <bgColor rgb="00C6E0B4"/>
      </patternFill>
    </fill>
    <fill>
      <patternFill patternType="solid">
        <fgColor rgb="00F2F2F2"/>
        <bgColor rgb="00F2F2F2"/>
      </patternFill>
    </fill>
    <fill>
      <patternFill patternType="solid">
        <fgColor rgb="00FFFFFF"/>
        <bgColor rgb="00FFFFFF"/>
      </patternFill>
    </fill>
    <fill>
      <patternFill patternType="solid">
        <fgColor rgb="00F0F0F0"/>
        <bgColor rgb="00F0F0F0"/>
      </patternFill>
    </fill>
  </fills>
  <borders count="6">
    <border>
      <left/>
      <right/>
      <top/>
      <bottom/>
      <diagonal/>
    </border>
    <border>
      <left style="thin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</borders>
  <cellStyleXfs count="1">
    <xf numFmtId="0" fontId="0" fillId="0" borderId="0"/>
  </cellStyleXfs>
  <cellXfs count="58">
    <xf numFmtId="0" fontId="0" fillId="0" borderId="0" pivotButton="0" quotePrefix="0" xfId="0"/>
    <xf numFmtId="0" fontId="1" fillId="2" borderId="0" pivotButton="0" quotePrefix="0" xfId="0"/>
    <xf numFmtId="0" fontId="2" fillId="0" borderId="0" pivotButton="0" quotePrefix="0" xfId="0"/>
    <xf numFmtId="0" fontId="3" fillId="3" borderId="1" pivotButton="0" quotePrefix="0" xfId="0"/>
    <xf numFmtId="0" fontId="0" fillId="0" borderId="4" pivotButton="0" quotePrefix="0" xfId="0"/>
    <xf numFmtId="0" fontId="0" fillId="0" borderId="5" pivotButton="0" quotePrefix="0" xfId="0"/>
    <xf numFmtId="0" fontId="4" fillId="0" borderId="0" pivotButton="0" quotePrefix="0" xfId="0"/>
    <xf numFmtId="0" fontId="5" fillId="0" borderId="1" pivotButton="0" quotePrefix="0" xfId="0"/>
    <xf numFmtId="0" fontId="4" fillId="0" borderId="1" pivotButton="0" quotePrefix="0" xfId="0"/>
    <xf numFmtId="0" fontId="6" fillId="0" borderId="1" pivotButton="0" quotePrefix="0" xfId="0"/>
    <xf numFmtId="0" fontId="7" fillId="0" borderId="0" pivotButton="0" quotePrefix="0" xfId="0"/>
    <xf numFmtId="0" fontId="0" fillId="4" borderId="1" pivotButton="0" quotePrefix="0" xfId="0"/>
    <xf numFmtId="0" fontId="6" fillId="0" borderId="0" pivotButton="0" quotePrefix="0" xfId="0"/>
    <xf numFmtId="0" fontId="5" fillId="0" borderId="0" pivotButton="0" quotePrefix="0" xfId="0"/>
    <xf numFmtId="3" fontId="4" fillId="5" borderId="1" pivotButton="0" quotePrefix="0" xfId="0"/>
    <xf numFmtId="10" fontId="4" fillId="4" borderId="1" pivotButton="0" quotePrefix="0" xfId="0"/>
    <xf numFmtId="2" fontId="4" fillId="4" borderId="1" pivotButton="0" quotePrefix="0" xfId="0"/>
    <xf numFmtId="2" fontId="4" fillId="5" borderId="1" pivotButton="0" quotePrefix="0" xfId="0"/>
    <xf numFmtId="10" fontId="4" fillId="5" borderId="1" pivotButton="0" quotePrefix="0" xfId="0"/>
    <xf numFmtId="0" fontId="8" fillId="0" borderId="1" pivotButton="0" quotePrefix="0" xfId="0"/>
    <xf numFmtId="2" fontId="8" fillId="5" borderId="1" pivotButton="0" quotePrefix="0" xfId="0"/>
    <xf numFmtId="10" fontId="8" fillId="5" borderId="1" pivotButton="0" quotePrefix="0" xfId="0"/>
    <xf numFmtId="164" fontId="4" fillId="5" borderId="1" pivotButton="0" quotePrefix="0" xfId="0"/>
    <xf numFmtId="0" fontId="4" fillId="5" borderId="1" pivotButton="0" quotePrefix="0" xfId="0"/>
    <xf numFmtId="0" fontId="9" fillId="0" borderId="1" pivotButton="0" quotePrefix="0" xfId="0"/>
    <xf numFmtId="10" fontId="9" fillId="5" borderId="1" pivotButton="0" quotePrefix="0" xfId="0"/>
    <xf numFmtId="0" fontId="10" fillId="6" borderId="1" applyAlignment="1" pivotButton="0" quotePrefix="0" xfId="0">
      <alignment horizontal="center" wrapText="1"/>
    </xf>
    <xf numFmtId="165" fontId="4" fillId="5" borderId="1" pivotButton="0" quotePrefix="0" xfId="0"/>
    <xf numFmtId="0" fontId="11" fillId="0" borderId="1" pivotButton="0" quotePrefix="0" xfId="0"/>
    <xf numFmtId="0" fontId="1" fillId="5" borderId="1" pivotButton="0" quotePrefix="0" xfId="0"/>
    <xf numFmtId="0" fontId="12" fillId="7" borderId="1" pivotButton="0" quotePrefix="0" xfId="0"/>
    <xf numFmtId="0" fontId="13" fillId="0" borderId="1" pivotButton="0" quotePrefix="0" xfId="0"/>
    <xf numFmtId="3" fontId="5" fillId="5" borderId="1" pivotButton="0" quotePrefix="0" xfId="0"/>
    <xf numFmtId="166" fontId="4" fillId="4" borderId="1" pivotButton="0" quotePrefix="0" xfId="0"/>
    <xf numFmtId="3" fontId="4" fillId="8" borderId="1" pivotButton="0" quotePrefix="0" xfId="0"/>
    <xf numFmtId="3" fontId="8" fillId="5" borderId="1" pivotButton="0" quotePrefix="0" xfId="0"/>
    <xf numFmtId="0" fontId="4" fillId="0" borderId="1" applyAlignment="1" pivotButton="0" quotePrefix="0" xfId="0">
      <alignment horizontal="center"/>
    </xf>
    <xf numFmtId="0" fontId="5" fillId="5" borderId="1" pivotButton="0" quotePrefix="0" xfId="0"/>
    <xf numFmtId="0" fontId="8" fillId="5" borderId="1" pivotButton="0" quotePrefix="0" xfId="0"/>
    <xf numFmtId="0" fontId="8" fillId="7" borderId="1" pivotButton="0" quotePrefix="0" xfId="0"/>
    <xf numFmtId="10" fontId="5" fillId="5" borderId="1" pivotButton="0" quotePrefix="0" xfId="0"/>
    <xf numFmtId="0" fontId="14" fillId="0" borderId="1" pivotButton="0" quotePrefix="0" xfId="0"/>
    <xf numFmtId="0" fontId="15" fillId="5" borderId="1" pivotButton="0" quotePrefix="0" xfId="0"/>
    <xf numFmtId="0" fontId="4" fillId="8" borderId="1" pivotButton="0" quotePrefix="0" xfId="0"/>
    <xf numFmtId="0" fontId="5" fillId="8" borderId="1" pivotButton="0" quotePrefix="0" xfId="0"/>
    <xf numFmtId="0" fontId="16" fillId="8" borderId="1" pivotButton="0" quotePrefix="0" xfId="0"/>
    <xf numFmtId="0" fontId="6" fillId="8" borderId="1" pivotButton="0" quotePrefix="0" xfId="0"/>
    <xf numFmtId="0" fontId="4" fillId="9" borderId="1" pivotButton="0" quotePrefix="0" xfId="0"/>
    <xf numFmtId="0" fontId="5" fillId="9" borderId="1" pivotButton="0" quotePrefix="0" xfId="0"/>
    <xf numFmtId="0" fontId="16" fillId="9" borderId="1" pivotButton="0" quotePrefix="0" xfId="0"/>
    <xf numFmtId="0" fontId="6" fillId="9" borderId="1" pivotButton="0" quotePrefix="0" xfId="0"/>
    <xf numFmtId="0" fontId="17" fillId="3" borderId="0" pivotButton="0" quotePrefix="0" xfId="0"/>
    <xf numFmtId="0" fontId="18" fillId="10" borderId="0" pivotButton="0" quotePrefix="0" xfId="0"/>
    <xf numFmtId="0" fontId="19" fillId="3" borderId="1" pivotButton="0" quotePrefix="0" xfId="0"/>
    <xf numFmtId="0" fontId="18" fillId="10" borderId="1" pivotButton="0" quotePrefix="0" xfId="0"/>
    <xf numFmtId="3" fontId="18" fillId="10" borderId="1" pivotButton="0" quotePrefix="0" xfId="0"/>
    <xf numFmtId="2" fontId="0" fillId="0" borderId="0" pivotButton="0" quotePrefix="0" xfId="0"/>
    <xf numFmtId="2" fontId="5" fillId="5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285C28"/>
    <outlinePr summaryBelow="1" summaryRight="1"/>
    <pageSetUpPr/>
  </sheetPr>
  <dimension ref="A1:C50"/>
  <sheetViews>
    <sheetView workbookViewId="0">
      <selection activeCell="A1" sqref="A1"/>
    </sheetView>
  </sheetViews>
  <sheetFormatPr baseColWidth="8" defaultRowHeight="15"/>
  <cols>
    <col width="30" customWidth="1" min="1" max="1"/>
    <col width="60" customWidth="1" min="2" max="2"/>
    <col width="40" customWidth="1" min="3" max="3"/>
  </cols>
  <sheetData>
    <row r="1" ht="35" customHeight="1">
      <c r="A1" s="1" t="inlineStr">
        <is>
          <t>SRFF-I RESCUE FINANCING FUND DEAL ANALYSIS TOOLKIT — RVS v4.0 (Private Companies)</t>
        </is>
      </c>
    </row>
    <row r="2">
      <c r="A2" s="2" t="inlineStr">
        <is>
          <t>ALiF Private Equity — Rescue Financing Fund I</t>
        </is>
      </c>
    </row>
    <row r="4">
      <c r="A4" s="3" t="inlineStr">
        <is>
          <t>1. OVERVIEW</t>
        </is>
      </c>
      <c r="B4" s="4" t="n"/>
      <c r="C4" s="5" t="n"/>
    </row>
    <row r="5" ht="60" customHeight="1">
      <c r="A5" s="6" t="inlineStr">
        <is>
          <t>This toolkit provides one-click deal analysis for distressed PRIVATE (non-listed) company rescue financing using the RVS v4.0 framework. Includes Damodaran beta adjustments, synthetic credit ratings, Shariah compliance screening, and 6-scenario stress testing. Enter company details in the Deal Input sheet, click 'ANALYZE DEAL', and the toolkit automatically calculates recovery probability, hazard survival, credit risk, fund projections, and stress tests.</t>
        </is>
      </c>
    </row>
    <row r="7">
      <c r="A7" s="3" t="inlineStr">
        <is>
          <t>2. SHEET DESCRIPTIONS</t>
        </is>
      </c>
      <c r="B7" s="4" t="n"/>
      <c r="C7" s="5" t="n"/>
    </row>
    <row r="8" ht="30" customHeight="1">
      <c r="A8" s="7" t="inlineStr">
        <is>
          <t>Deal Input (Sheet 2)</t>
        </is>
      </c>
      <c r="B8" s="8" t="inlineStr">
        <is>
          <t>Enter all company data in blue cells. Includes private company fields: owner compensation, RPT exposure, governance, concentration, collateral appraisal.</t>
        </is>
      </c>
      <c r="C8" s="9" t="inlineStr">
        <is>
          <t>Blue cells = user input</t>
        </is>
      </c>
    </row>
    <row r="9" ht="30" customHeight="1">
      <c r="A9" s="7" t="inlineStr">
        <is>
          <t>Damodaran Adjustments (Sheet 3)</t>
        </is>
      </c>
      <c r="B9" s="8" t="inlineStr">
        <is>
          <t>Calculates Total Beta, Synthetic Credit Rating (ICR-based), Cost of Equity, WACC, Illiquidity Discount (25%), Key-Person Discount.</t>
        </is>
      </c>
      <c r="C9" s="9" t="inlineStr">
        <is>
          <t>Auto-populated</t>
        </is>
      </c>
    </row>
    <row r="10" ht="30" customHeight="1">
      <c r="A10" s="7" t="inlineStr">
        <is>
          <t>Scorecard (Sheet 4)</t>
        </is>
      </c>
      <c r="B10" s="8" t="inlineStr">
        <is>
          <t>RVS v4.0 calibrated logistic regression with private company adjustments. P(Recovery), Hazard Survival S(5), Composite V4 score.</t>
        </is>
      </c>
      <c r="C10" s="9" t="inlineStr">
        <is>
          <t>Auto-populated</t>
        </is>
      </c>
    </row>
    <row r="11" ht="30" customHeight="1">
      <c r="A11" s="7" t="inlineStr">
        <is>
          <t>Shariah Screening (Sheet 5)</t>
        </is>
      </c>
      <c r="B11" s="8" t="inlineStr">
        <is>
          <t>3-screen Shariah compliance: Debt/Assets &lt; 33%, Interest Income/Revenue &lt; 5%, Non-Permissible/Revenue &lt; 5%.</t>
        </is>
      </c>
      <c r="C11" s="9" t="inlineStr">
        <is>
          <t>Auto-populated</t>
        </is>
      </c>
    </row>
    <row r="12" ht="30" customHeight="1">
      <c r="A12" s="7" t="inlineStr">
        <is>
          <t>Credit Risk (Sheet 6)</t>
        </is>
      </c>
      <c r="B12" s="8" t="inlineStr">
        <is>
          <t>PD, LGD, Expected Loss, Haircut with private company adjustments.</t>
        </is>
      </c>
      <c r="C12" s="9" t="inlineStr">
        <is>
          <t>Auto-populated</t>
        </is>
      </c>
    </row>
    <row r="13" ht="30" customHeight="1">
      <c r="A13" s="7" t="inlineStr">
        <is>
          <t>Hazard Model (Sheet 7)</t>
        </is>
      </c>
      <c r="B13" s="8" t="inlineStr">
        <is>
          <t>Discrete-time hazard model with 1.20× private firm multiplier, governance penalty, concentration penalty.</t>
        </is>
      </c>
      <c r="C13" s="9" t="inlineStr">
        <is>
          <t>Auto-populated</t>
        </is>
      </c>
    </row>
    <row r="14" ht="30" customHeight="1">
      <c r="A14" s="7" t="inlineStr">
        <is>
          <t>Fund Model (Sheet 8)</t>
        </is>
      </c>
      <c r="B14" s="8" t="inlineStr">
        <is>
          <t>5-year IRR projections with 4-tier framework.</t>
        </is>
      </c>
      <c r="C14" s="9" t="inlineStr">
        <is>
          <t>Auto-populated</t>
        </is>
      </c>
    </row>
    <row r="15" ht="30" customHeight="1">
      <c r="A15" s="7" t="inlineStr">
        <is>
          <t>Stress Test (Sheet 9)</t>
        </is>
      </c>
      <c r="B15" s="8" t="inlineStr">
        <is>
          <t>6 scenarios: WC Crisis, Margin Compression, Refi Crisis, Perfect Storm, Key-Person Loss, Governance Collapse.</t>
        </is>
      </c>
      <c r="C15" s="9" t="inlineStr">
        <is>
          <t>Auto-populated</t>
        </is>
      </c>
    </row>
    <row r="16" ht="30" customHeight="1">
      <c r="A16" s="7" t="inlineStr">
        <is>
          <t>Summary (Sheet 10)</t>
        </is>
      </c>
      <c r="B16" s="8" t="inlineStr">
        <is>
          <t>Executive dashboard with GO/CONDITIONAL/NO-GO verdict, Shariah status, key metrics.</t>
        </is>
      </c>
      <c r="C16" s="9" t="inlineStr">
        <is>
          <t>Auto-populated</t>
        </is>
      </c>
    </row>
    <row r="17" ht="30" customHeight="1">
      <c r="A17" s="7" t="inlineStr">
        <is>
          <t>Formulas Reference (Sheet 11)</t>
        </is>
      </c>
      <c r="B17" s="8" t="inlineStr">
        <is>
          <t>Complete documentation of all RVS v4.0 formulas and coefficients.</t>
        </is>
      </c>
      <c r="C17" s="9" t="inlineStr">
        <is>
          <t>Reference only</t>
        </is>
      </c>
    </row>
    <row r="19">
      <c r="A19" s="3" t="inlineStr">
        <is>
          <t>3. KEY DIFFERENCES: v4.0 (Private) vs v3.0 (Public)</t>
        </is>
      </c>
      <c r="B19" s="4" t="n"/>
      <c r="C19" s="5" t="n"/>
    </row>
    <row r="20">
      <c r="A20" s="7" t="inlineStr">
        <is>
          <t>Owner Compensation Add-back</t>
        </is>
      </c>
      <c r="B20" s="8" t="inlineStr">
        <is>
          <t>Adjusts for founder/owner salary normalization</t>
        </is>
      </c>
    </row>
    <row r="21">
      <c r="A21" s="7" t="inlineStr">
        <is>
          <t>RPT (Related Party Transaction) Haircut</t>
        </is>
      </c>
      <c r="B21" s="8" t="inlineStr">
        <is>
          <t>Reduces recovery for concentrated customer/supplier risk</t>
        </is>
      </c>
    </row>
    <row r="22">
      <c r="A22" s="7" t="inlineStr">
        <is>
          <t>Governance Adjustments</t>
        </is>
      </c>
      <c r="B22" s="8" t="inlineStr">
        <is>
          <t>Penalty for weak board, family-run, or concentrated ownership</t>
        </is>
      </c>
    </row>
    <row r="23">
      <c r="A23" s="7" t="inlineStr">
        <is>
          <t>Concentration Penalty</t>
        </is>
      </c>
      <c r="B23" s="8" t="inlineStr">
        <is>
          <t>Haircut for customer/revenue concentration</t>
        </is>
      </c>
    </row>
    <row r="24">
      <c r="A24" s="7" t="inlineStr">
        <is>
          <t>Collateral Appraisal Factor</t>
        </is>
      </c>
      <c r="B24" s="8" t="inlineStr">
        <is>
          <t>Adjustment for illiquid/hard-to-value collateral</t>
        </is>
      </c>
    </row>
    <row r="25">
      <c r="A25" s="7" t="inlineStr">
        <is>
          <t>Damodaran Beta Adjustments</t>
        </is>
      </c>
      <c r="B25" s="8" t="inlineStr">
        <is>
          <t>Unleverages public company beta, re-levers for private firm capital structure</t>
        </is>
      </c>
    </row>
    <row r="26">
      <c r="A26" s="7" t="inlineStr">
        <is>
          <t>Synthetic Credit Rating</t>
        </is>
      </c>
      <c r="B26" s="8" t="inlineStr">
        <is>
          <t>ICR-based (Interest Coverage Ratio) rating when no public rating available</t>
        </is>
      </c>
    </row>
    <row r="27">
      <c r="A27" s="7" t="inlineStr">
        <is>
          <t>WACC Calculation</t>
        </is>
      </c>
      <c r="B27" s="8" t="inlineStr">
        <is>
          <t>Includes illiquidity discount (25%) and key-person discount</t>
        </is>
      </c>
    </row>
    <row r="28">
      <c r="A28" s="7" t="inlineStr">
        <is>
          <t>Shariah Compliance</t>
        </is>
      </c>
      <c r="B28" s="8" t="inlineStr">
        <is>
          <t>3-screen Islamic finance screening</t>
        </is>
      </c>
    </row>
    <row r="29">
      <c r="A29" s="7" t="inlineStr">
        <is>
          <t>6-Scenario Stress Test</t>
        </is>
      </c>
      <c r="B29" s="8" t="inlineStr">
        <is>
          <t>Adds Key-Person Loss and Governance Collapse scenarios</t>
        </is>
      </c>
    </row>
    <row r="31">
      <c r="A31" s="3" t="inlineStr">
        <is>
          <t>4. HOW TO USE</t>
        </is>
      </c>
      <c r="B31" s="4" t="n"/>
      <c r="C31" s="5" t="n"/>
    </row>
    <row r="32">
      <c r="A32" s="6" t="inlineStr">
        <is>
          <t>Step 1: Go to Deal Input and fill ALL blue cells with company data</t>
        </is>
      </c>
    </row>
    <row r="33">
      <c r="A33" s="6" t="inlineStr">
        <is>
          <t>Step 2: Include private company fields: owner comp, RPT exposure, governance, concentration, collateral appraisal</t>
        </is>
      </c>
    </row>
    <row r="34">
      <c r="A34" s="6" t="inlineStr">
        <is>
          <t>Step 3: Click 'ANALYZE DEAL' (Ctrl+Shift+A) to run full analysis</t>
        </is>
      </c>
    </row>
    <row r="35">
      <c r="A35" s="6" t="inlineStr">
        <is>
          <t>Step 4: Review Damodaran Adjustments for WACC and cost of equity</t>
        </is>
      </c>
    </row>
    <row r="36">
      <c r="A36" s="6" t="inlineStr">
        <is>
          <t>Step 5: Check Shariah Screening for Islamic finance compliance</t>
        </is>
      </c>
    </row>
    <row r="37">
      <c r="A37" s="6" t="inlineStr">
        <is>
          <t>Step 6: Review Scorecard for GO/CONDITIONAL/NO-GO verdict</t>
        </is>
      </c>
    </row>
    <row r="38">
      <c r="A38" s="6" t="inlineStr">
        <is>
          <t>Step 7: Check Credit Risk for recommended haircut</t>
        </is>
      </c>
    </row>
    <row r="39">
      <c r="A39" s="6" t="inlineStr">
        <is>
          <t>Step 8: Review Fund Model for IRR projections</t>
        </is>
      </c>
    </row>
    <row r="40">
      <c r="A40" s="6" t="inlineStr">
        <is>
          <t>Step 9: Run Stress Test (Ctrl+Shift+S) for 6-scenario resilience</t>
        </is>
      </c>
    </row>
    <row r="41">
      <c r="A41" s="6" t="inlineStr">
        <is>
          <t>Step 10: Present Summary sheet to Investment Committee</t>
        </is>
      </c>
    </row>
    <row r="42">
      <c r="A42" s="6" t="inlineStr">
        <is>
          <t>Step 11: Click 'EXPORT SUMMARY' (Ctrl+Shift+E) to generate PDF</t>
        </is>
      </c>
    </row>
    <row r="44">
      <c r="A44" s="3" t="inlineStr">
        <is>
          <t>5. RVS v4.0 METHODOLOGY FOR PRIVATE COMPANIES</t>
        </is>
      </c>
      <c r="B44" s="4" t="n"/>
      <c r="C44" s="5" t="n"/>
    </row>
    <row r="45">
      <c r="A45" s="7" t="inlineStr">
        <is>
          <t>Recovery Model</t>
        </is>
      </c>
      <c r="B45" s="8" t="inlineStr">
        <is>
          <t>Calibrated logistic regression with private company adjustments</t>
        </is>
      </c>
      <c r="C45" s="9" t="inlineStr">
        <is>
          <t>P(Recovery) = 1/(1+EXP(-z))</t>
        </is>
      </c>
    </row>
    <row r="46">
      <c r="A46" s="7" t="inlineStr">
        <is>
          <t>Private Adjustments</t>
        </is>
      </c>
      <c r="B46" s="8" t="inlineStr">
        <is>
          <t>Owner comp add-back, RPT haircut, appraisal factor, underreporting adjustment</t>
        </is>
      </c>
      <c r="C46" s="9" t="inlineStr">
        <is>
          <t>Normalized V1-V6</t>
        </is>
      </c>
    </row>
    <row r="47">
      <c r="A47" s="7" t="inlineStr">
        <is>
          <t>Hazard Layer</t>
        </is>
      </c>
      <c r="B47" s="8" t="inlineStr">
        <is>
          <t>1.20× private firm multiplier, governance penalty, concentration penalty</t>
        </is>
      </c>
      <c r="C47" s="9" t="inlineStr">
        <is>
          <t>h(t) = 1/(1+EXP(-w))</t>
        </is>
      </c>
    </row>
    <row r="48">
      <c r="A48" s="7" t="inlineStr">
        <is>
          <t>Composite V4</t>
        </is>
      </c>
      <c r="B48" s="8" t="inlineStr">
        <is>
          <t>P(Recovery) × S(5) × (1 - InfoAsymmetry) × GovernanceFactor</t>
        </is>
      </c>
      <c r="C48" s="9" t="inlineStr">
        <is>
          <t>Blended score</t>
        </is>
      </c>
    </row>
    <row r="49">
      <c r="A49" s="7" t="inlineStr">
        <is>
          <t>Damodaran WACC</t>
        </is>
      </c>
      <c r="B49" s="8" t="inlineStr">
        <is>
          <t>Total Beta = Market Beta / Correlation, Cost of Equity, WACC with illiquidity discount</t>
        </is>
      </c>
      <c r="C49" s="9" t="inlineStr">
        <is>
          <t>25% illiquidity, key-person</t>
        </is>
      </c>
    </row>
    <row r="50">
      <c r="A50" s="7" t="inlineStr">
        <is>
          <t>Shariah 3-Screen</t>
        </is>
      </c>
      <c r="B50" s="8" t="inlineStr">
        <is>
          <t>Debt/Assets &lt; 33%, Interest Income/Revenue &lt; 5%, Non-Permissible/Revenue &lt; 5%</t>
        </is>
      </c>
      <c r="C50" s="9" t="inlineStr">
        <is>
          <t>PASS/FAIL</t>
        </is>
      </c>
    </row>
  </sheetData>
  <mergeCells count="19">
    <mergeCell ref="A41:C41"/>
    <mergeCell ref="A37:C37"/>
    <mergeCell ref="A2:C2"/>
    <mergeCell ref="A42:C42"/>
    <mergeCell ref="A33:C33"/>
    <mergeCell ref="A5:C5"/>
    <mergeCell ref="A32:C32"/>
    <mergeCell ref="A35:C35"/>
    <mergeCell ref="A4:C4"/>
    <mergeCell ref="A38:C38"/>
    <mergeCell ref="A19:C19"/>
    <mergeCell ref="A44:C44"/>
    <mergeCell ref="A31:C31"/>
    <mergeCell ref="A40:C40"/>
    <mergeCell ref="A39:C39"/>
    <mergeCell ref="A34:C34"/>
    <mergeCell ref="A36:C36"/>
    <mergeCell ref="A1:C1"/>
    <mergeCell ref="A7:C7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70C0"/>
    <outlinePr summaryBelow="1" summaryRight="1"/>
    <pageSetUpPr/>
  </sheetPr>
  <dimension ref="A1:C71"/>
  <sheetViews>
    <sheetView workbookViewId="0">
      <selection activeCell="A1" sqref="A1"/>
    </sheetView>
  </sheetViews>
  <sheetFormatPr baseColWidth="8" defaultRowHeight="15"/>
  <cols>
    <col width="40" customWidth="1" min="1" max="1"/>
    <col width="22" customWidth="1" min="2" max="2"/>
    <col width="45" customWidth="1" min="3" max="3"/>
  </cols>
  <sheetData>
    <row r="1" ht="35" customHeight="1">
      <c r="A1" s="1" t="inlineStr">
        <is>
          <t>SRFF-I DEAL ANALYSIS TOOLKIT — RVS v4.0 (PRIVATE COMPANIES)</t>
        </is>
      </c>
    </row>
    <row r="2">
      <c r="A2" s="10" t="inlineStr">
        <is>
          <t>ALiF Private Equity — Rescue Financing Fund I</t>
        </is>
      </c>
    </row>
    <row r="4">
      <c r="A4" s="3" t="inlineStr">
        <is>
          <t>COMPANY INFORMATION</t>
        </is>
      </c>
      <c r="B4" s="4" t="n"/>
      <c r="C4" s="5" t="n"/>
    </row>
    <row r="5">
      <c r="A5" s="8" t="inlineStr">
        <is>
          <t>Company Name</t>
        </is>
      </c>
      <c r="B5" s="11" t="n"/>
      <c r="C5" s="9" t="inlineStr">
        <is>
          <t>e.g., ABC Manufacturing LLC</t>
        </is>
      </c>
    </row>
    <row r="6">
      <c r="A6" s="8" t="inlineStr">
        <is>
          <t>Sector</t>
        </is>
      </c>
      <c r="B6" s="11" t="n"/>
      <c r="C6" s="9" t="inlineStr">
        <is>
          <t>e.g., Manufacturing, Trading, Services</t>
        </is>
      </c>
    </row>
    <row r="7">
      <c r="A7" s="8" t="inlineStr">
        <is>
          <t>Geography</t>
        </is>
      </c>
      <c r="B7" s="11" t="n"/>
      <c r="C7" s="9" t="inlineStr">
        <is>
          <t>e.g., Oman, GCC, Multi-country</t>
        </is>
      </c>
    </row>
    <row r="8">
      <c r="A8" s="8" t="inlineStr">
        <is>
          <t>Ownership Structure</t>
        </is>
      </c>
      <c r="B8" s="11" t="n"/>
      <c r="C8" s="9" t="inlineStr">
        <is>
          <t>Family-owned / Private equity / Institutional</t>
        </is>
      </c>
    </row>
    <row r="9">
      <c r="A9" s="8" t="inlineStr">
        <is>
          <t>Years in Business</t>
        </is>
      </c>
      <c r="B9" s="11" t="n"/>
      <c r="C9" s="9" t="inlineStr">
        <is>
          <t>e.g., 15 years</t>
        </is>
      </c>
    </row>
    <row r="11">
      <c r="A11" s="3" t="inlineStr">
        <is>
          <t>FINANCIAL METRICS</t>
        </is>
      </c>
      <c r="B11" s="4" t="n"/>
      <c r="C11" s="5" t="n"/>
    </row>
    <row r="12">
      <c r="A12" s="8" t="inlineStr">
        <is>
          <t>Total Outstanding Debt (OMR '000)</t>
        </is>
      </c>
      <c r="B12" s="11" t="n"/>
      <c r="C12" s="9" t="inlineStr">
        <is>
          <t>Total debt across all lenders</t>
        </is>
      </c>
    </row>
    <row r="13">
      <c r="A13" s="8" t="inlineStr">
        <is>
          <t>Current Revenue (OMR '000)</t>
        </is>
      </c>
      <c r="B13" s="11" t="n"/>
      <c r="C13" s="9" t="inlineStr">
        <is>
          <t>Latest FY revenue</t>
        </is>
      </c>
    </row>
    <row r="14">
      <c r="A14" s="8" t="inlineStr">
        <is>
          <t>Projected Revenue Year 5 (OMR '000)</t>
        </is>
      </c>
      <c r="B14" s="11" t="n"/>
      <c r="C14" s="9" t="inlineStr">
        <is>
          <t>Post-restructuring target</t>
        </is>
      </c>
    </row>
    <row r="15">
      <c r="A15" s="8" t="inlineStr">
        <is>
          <t>Current EBITDA (OMR '000)</t>
        </is>
      </c>
      <c r="B15" s="11" t="n"/>
      <c r="C15" s="9" t="inlineStr">
        <is>
          <t>Latest FY EBITDA (can be negative)</t>
        </is>
      </c>
    </row>
    <row r="16">
      <c r="A16" s="8" t="inlineStr">
        <is>
          <t>Projected EBITDA Year 5 (OMR '000)</t>
        </is>
      </c>
      <c r="B16" s="11" t="n"/>
      <c r="C16" s="9" t="inlineStr">
        <is>
          <t>Post-restructuring target</t>
        </is>
      </c>
    </row>
    <row r="17">
      <c r="A17" s="8" t="inlineStr">
        <is>
          <t>EBITDA Margin % (Current)</t>
        </is>
      </c>
      <c r="B17" s="11" t="n"/>
      <c r="C17" s="9" t="inlineStr">
        <is>
          <t>As decimal, e.g. 0.15</t>
        </is>
      </c>
    </row>
    <row r="18">
      <c r="A18" s="8" t="inlineStr">
        <is>
          <t>Interest Expense (OMR '000)</t>
        </is>
      </c>
      <c r="B18" s="11" t="n"/>
      <c r="C18" s="9" t="inlineStr">
        <is>
          <t>Annual interest payments</t>
        </is>
      </c>
    </row>
    <row r="19">
      <c r="A19" s="8" t="inlineStr">
        <is>
          <t>Tax Rate (%)</t>
        </is>
      </c>
      <c r="B19" s="11" t="n"/>
      <c r="C19" s="9" t="inlineStr">
        <is>
          <t>As decimal, e.g. 0.15</t>
        </is>
      </c>
    </row>
    <row r="21">
      <c r="A21" s="3" t="inlineStr">
        <is>
          <t>ASSET &amp; COLLATERAL INFORMATION</t>
        </is>
      </c>
      <c r="B21" s="4" t="n"/>
      <c r="C21" s="5" t="n"/>
    </row>
    <row r="22">
      <c r="A22" s="8" t="inlineStr">
        <is>
          <t>Total Assets (OMR '000)</t>
        </is>
      </c>
      <c r="B22" s="11" t="n"/>
      <c r="C22" s="9" t="inlineStr">
        <is>
          <t>Book value of total assets</t>
        </is>
      </c>
    </row>
    <row r="23">
      <c r="A23" s="8" t="inlineStr">
        <is>
          <t>Collateral Value (OMR '000)</t>
        </is>
      </c>
      <c r="B23" s="11" t="n"/>
      <c r="C23" s="9" t="inlineStr">
        <is>
          <t>Appraised value</t>
        </is>
      </c>
    </row>
    <row r="24">
      <c r="A24" s="8" t="inlineStr">
        <is>
          <t>Collateral Appraisal Factor</t>
        </is>
      </c>
      <c r="B24" s="11" t="n"/>
      <c r="C24" s="9" t="inlineStr">
        <is>
          <t>Adjustment for illiquidity, e.g. 0.85 (15% haircut)</t>
        </is>
      </c>
    </row>
    <row r="25">
      <c r="A25" s="8" t="inlineStr">
        <is>
          <t>Cash Position (OMR '000)</t>
        </is>
      </c>
      <c r="B25" s="11" t="n"/>
      <c r="C25" s="9" t="inlineStr">
        <is>
          <t>Cash and equivalents</t>
        </is>
      </c>
    </row>
    <row r="26">
      <c r="A26" s="8" t="inlineStr">
        <is>
          <t>Equity Value (OMR '000, can be negative)</t>
        </is>
      </c>
      <c r="B26" s="11" t="n"/>
      <c r="C26" s="9" t="inlineStr">
        <is>
          <t>Book equity</t>
        </is>
      </c>
    </row>
    <row r="28">
      <c r="A28" s="3" t="inlineStr">
        <is>
          <t>OPERATIONAL ASSESSMENT</t>
        </is>
      </c>
      <c r="B28" s="4" t="n"/>
      <c r="C28" s="5" t="n"/>
    </row>
    <row r="29">
      <c r="A29" s="8" t="inlineStr">
        <is>
          <t>Management Quality Rating (1-5)</t>
        </is>
      </c>
      <c r="B29" s="11" t="n"/>
      <c r="C29" s="9" t="inlineStr">
        <is>
          <t>1=Weak, 5=Excellent</t>
        </is>
      </c>
    </row>
    <row r="30">
      <c r="A30" s="8" t="inlineStr">
        <is>
          <t>Sector Risk Profile</t>
        </is>
      </c>
      <c r="B30" s="11" t="n"/>
      <c r="C30" s="9" t="inlineStr">
        <is>
          <t>Defensive / Cyclical / Distressed</t>
        </is>
      </c>
    </row>
    <row r="31">
      <c r="A31" s="8" t="inlineStr">
        <is>
          <t>Is Business Model Viable?</t>
        </is>
      </c>
      <c r="B31" s="11" t="n"/>
      <c r="C31" s="9" t="inlineStr">
        <is>
          <t>Yes / No</t>
        </is>
      </c>
    </row>
    <row r="32">
      <c r="A32" s="8" t="inlineStr">
        <is>
          <t>Are Identifiable Assets Present?</t>
        </is>
      </c>
      <c r="B32" s="11" t="n"/>
      <c r="C32" s="9" t="inlineStr">
        <is>
          <t>Yes / No</t>
        </is>
      </c>
    </row>
    <row r="33">
      <c r="A33" s="8" t="inlineStr">
        <is>
          <t>Number of Existing Lenders</t>
        </is>
      </c>
      <c r="B33" s="11" t="n"/>
      <c r="C33" s="9" t="inlineStr">
        <is>
          <t>Count of lender institutions</t>
        </is>
      </c>
    </row>
    <row r="35">
      <c r="A35" s="3" t="inlineStr">
        <is>
          <t>PRIVATE COMPANY ADJUSTMENTS</t>
        </is>
      </c>
      <c r="B35" s="4" t="n"/>
      <c r="C35" s="5" t="n"/>
    </row>
    <row r="36">
      <c r="A36" s="8" t="inlineStr">
        <is>
          <t>Owner/Founder Compensation (OMR '000)</t>
        </is>
      </c>
      <c r="B36" s="11" t="n"/>
      <c r="C36" s="9" t="inlineStr">
        <is>
          <t>Annual salary/distributions to adjust</t>
        </is>
      </c>
    </row>
    <row r="37">
      <c r="A37" s="8" t="inlineStr">
        <is>
          <t>Related Party Transaction (RPT) Exposure (%)</t>
        </is>
      </c>
      <c r="B37" s="11" t="n"/>
      <c r="C37" s="9" t="inlineStr">
        <is>
          <t>% of revenue from related parties, e.g. 0.25</t>
        </is>
      </c>
    </row>
    <row r="38">
      <c r="A38" s="8" t="inlineStr">
        <is>
          <t>Top 3 Customers (% of Revenue)</t>
        </is>
      </c>
      <c r="B38" s="11" t="n"/>
      <c r="C38" s="9" t="inlineStr">
        <is>
          <t>Concentration risk, e.g. 0.60</t>
        </is>
      </c>
    </row>
    <row r="39">
      <c r="A39" s="8" t="inlineStr">
        <is>
          <t>Governance Quality Rating (1-5)</t>
        </is>
      </c>
      <c r="B39" s="11" t="n"/>
      <c r="C39" s="9" t="inlineStr">
        <is>
          <t>1=Weak, 5=Strong board/controls</t>
        </is>
      </c>
    </row>
    <row r="40">
      <c r="A40" s="8" t="inlineStr">
        <is>
          <t>Key-Person Dependency (1-5)</t>
        </is>
      </c>
      <c r="B40" s="11" t="n"/>
      <c r="C40" s="9" t="inlineStr">
        <is>
          <t>1=No dependency, 5=Extreme (founder-dependent)</t>
        </is>
      </c>
    </row>
    <row r="41">
      <c r="A41" s="8" t="inlineStr">
        <is>
          <t>Financial Reporting Quality (1-5)</t>
        </is>
      </c>
      <c r="B41" s="11" t="n"/>
      <c r="C41" s="9" t="inlineStr">
        <is>
          <t>1=Audited, 5=Unaudited/suspect</t>
        </is>
      </c>
    </row>
    <row r="43">
      <c r="A43" s="3" t="inlineStr">
        <is>
          <t>RESTRUCTURING PARAMETERS</t>
        </is>
      </c>
      <c r="B43" s="4" t="n"/>
      <c r="C43" s="5" t="n"/>
    </row>
    <row r="44">
      <c r="A44" s="8" t="inlineStr">
        <is>
          <t>Shareholder Commitment (OMR '000)</t>
        </is>
      </c>
      <c r="B44" s="11" t="n"/>
      <c r="C44" s="9" t="inlineStr">
        <is>
          <t>Equity injection by shareholders</t>
        </is>
      </c>
    </row>
    <row r="45">
      <c r="A45" s="8" t="inlineStr">
        <is>
          <t>Capex Required (OMR '000)</t>
        </is>
      </c>
      <c r="B45" s="11" t="n"/>
      <c r="C45" s="9" t="inlineStr">
        <is>
          <t>Capital expenditure required</t>
        </is>
      </c>
    </row>
    <row r="46">
      <c r="A46" s="8" t="inlineStr">
        <is>
          <t>Number of Years for Recovery</t>
        </is>
      </c>
      <c r="B46" s="11" t="n"/>
      <c r="C46" s="9" t="inlineStr">
        <is>
          <t>Typical: 5 years</t>
        </is>
      </c>
    </row>
    <row r="47">
      <c r="A47" s="8" t="inlineStr">
        <is>
          <t>Restructuring Cost Rate (%)</t>
        </is>
      </c>
      <c r="B47" s="11" t="n"/>
      <c r="C47" s="9" t="inlineStr">
        <is>
          <t>As decimal, e.g. 0.065</t>
        </is>
      </c>
    </row>
    <row r="49">
      <c r="A49" s="3" t="inlineStr">
        <is>
          <t>RVS v4.0 VARIABLES (V1-V6) — PRIVATE COMPANY NORMALIZED</t>
        </is>
      </c>
      <c r="B49" s="4" t="n"/>
      <c r="C49" s="5" t="n"/>
    </row>
    <row r="50">
      <c r="A50" s="12" t="inlineStr">
        <is>
          <t>Normalized for private company adjustments</t>
        </is>
      </c>
    </row>
    <row r="51">
      <c r="A51" s="8" t="inlineStr">
        <is>
          <t>V1: DSCR (adjusted for owner comp)</t>
        </is>
      </c>
      <c r="B51" s="11" t="n"/>
      <c r="C51" s="9">
        <f> (EBITDA + Owner Comp) / Debt Service</f>
        <v/>
      </c>
    </row>
    <row r="52">
      <c r="A52" s="8" t="inlineStr">
        <is>
          <t>V2: Collateral/Debt (with appraisal factor)</t>
        </is>
      </c>
      <c r="B52" s="11" t="n"/>
      <c r="C52" s="9">
        <f> (Collateral × Appraisal Factor) / Debt</f>
        <v/>
      </c>
    </row>
    <row r="53">
      <c r="A53" s="8" t="inlineStr">
        <is>
          <t>V3: EBITDA Margin (adjusted)</t>
        </is>
      </c>
      <c r="B53" s="11" t="n"/>
      <c r="C53" s="9">
        <f> (EBITDA + Owner Comp) / Revenue</f>
        <v/>
      </c>
    </row>
    <row r="54">
      <c r="A54" s="8" t="inlineStr">
        <is>
          <t>V4: Leverage Inverse (adjusted)</t>
        </is>
      </c>
      <c r="B54" s="11" t="n"/>
      <c r="C54" s="9">
        <f> (EBITDA + Owner Comp) / Debt</f>
        <v/>
      </c>
    </row>
    <row r="55">
      <c r="A55" s="8" t="inlineStr">
        <is>
          <t>V5: Cash/Debt Ratio</t>
        </is>
      </c>
      <c r="B55" s="11" t="n"/>
      <c r="C55" s="9">
        <f> Cash / Debt</f>
        <v/>
      </c>
    </row>
    <row r="56">
      <c r="A56" s="8" t="inlineStr">
        <is>
          <t>V6: Lenders (normalized)</t>
        </is>
      </c>
      <c r="B56" s="11" t="n"/>
      <c r="C56" s="9">
        <f> Lenders / 10</f>
        <v/>
      </c>
    </row>
    <row r="58">
      <c r="A58" s="3" t="inlineStr">
        <is>
          <t>HAZARD LAYER INPUTS</t>
        </is>
      </c>
      <c r="B58" s="4" t="n"/>
      <c r="C58" s="5" t="n"/>
    </row>
    <row r="59">
      <c r="A59" s="8" t="inlineStr">
        <is>
          <t>Time Dummy (0=Year 1-2, 1=Year 3-5)</t>
        </is>
      </c>
      <c r="B59" s="11" t="n"/>
      <c r="C59" s="9" t="inlineStr">
        <is>
          <t>Set to 0 for initial assessment</t>
        </is>
      </c>
    </row>
    <row r="60">
      <c r="A60" s="8" t="inlineStr">
        <is>
          <t>COVID Dummy (0=No, 1=Yes)</t>
        </is>
      </c>
      <c r="B60" s="11" t="n"/>
      <c r="C60" s="9" t="inlineStr">
        <is>
          <t>1 if COVID-era restructuring</t>
        </is>
      </c>
    </row>
    <row r="62">
      <c r="A62" s="3" t="inlineStr">
        <is>
          <t>ANALYSIS CONTROLS</t>
        </is>
      </c>
      <c r="B62" s="4" t="n"/>
      <c r="C62" s="5" t="n"/>
    </row>
    <row r="63">
      <c r="A63" s="13" t="inlineStr">
        <is>
          <t>Click 'ANALYZE DEAL' button to run complete analysis</t>
        </is>
      </c>
    </row>
    <row r="64">
      <c r="A64" s="6" t="inlineStr">
        <is>
          <t>Click 'RUN STRESS TEST' to test 6 scenarios</t>
        </is>
      </c>
    </row>
    <row r="65">
      <c r="A65" s="6" t="inlineStr">
        <is>
          <t>Click 'RESET FORM' to clear all inputs</t>
        </is>
      </c>
    </row>
    <row r="66">
      <c r="A66" s="6" t="inlineStr">
        <is>
          <t>Click 'EXPORT SUMMARY' to generate print-ready summary</t>
        </is>
      </c>
    </row>
    <row r="68">
      <c r="A68" s="3" t="inlineStr">
        <is>
          <t>AUTO-CALCULATED FIELDS (do not edit)</t>
        </is>
      </c>
      <c r="B68" s="4" t="n"/>
      <c r="C68" s="5" t="n"/>
    </row>
    <row r="69">
      <c r="A69" s="8" t="inlineStr">
        <is>
          <t>Adjusted EBITDA (with owner comp)</t>
        </is>
      </c>
      <c r="B69" s="14">
        <f>B15+B36</f>
        <v/>
      </c>
    </row>
    <row r="70">
      <c r="A70" s="8" t="inlineStr">
        <is>
          <t>Adjusted Collateral Value</t>
        </is>
      </c>
      <c r="B70" s="14">
        <f>B23*B24</f>
        <v/>
      </c>
    </row>
    <row r="71">
      <c r="A71" s="8" t="inlineStr">
        <is>
          <t>Annual Debt Service</t>
        </is>
      </c>
      <c r="B71" s="14">
        <f>IF(B12&gt;0,B12*IF(B47&gt;0,B47,0.065),0)</f>
        <v/>
      </c>
    </row>
  </sheetData>
  <mergeCells count="13">
    <mergeCell ref="A28:C28"/>
    <mergeCell ref="A50:C50"/>
    <mergeCell ref="A68:C68"/>
    <mergeCell ref="A49:C49"/>
    <mergeCell ref="A11:C11"/>
    <mergeCell ref="A1:C1"/>
    <mergeCell ref="A58:C58"/>
    <mergeCell ref="A62:C62"/>
    <mergeCell ref="A21:C21"/>
    <mergeCell ref="A35:C35"/>
    <mergeCell ref="A4:C4"/>
    <mergeCell ref="A43:C43"/>
    <mergeCell ref="A2:C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FF6600"/>
    <outlinePr summaryBelow="1" summaryRight="1"/>
    <pageSetUpPr/>
  </sheetPr>
  <dimension ref="A1:C40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  <col width="50" customWidth="1" min="3" max="3"/>
  </cols>
  <sheetData>
    <row r="1" ht="35" customHeight="1">
      <c r="A1" s="1" t="inlineStr">
        <is>
          <t>DAMODARAN BETA ADJUSTMENTS &amp; WACC CALCULATION</t>
        </is>
      </c>
    </row>
    <row r="2">
      <c r="A2" s="10" t="inlineStr">
        <is>
          <t>ALiF Private Equity — RVS v4.0 (Private Companies)</t>
        </is>
      </c>
    </row>
    <row r="4">
      <c r="A4" s="3" t="inlineStr">
        <is>
          <t>A. MARKET INPUTS</t>
        </is>
      </c>
      <c r="B4" s="4" t="n"/>
      <c r="C4" s="5" t="n"/>
    </row>
    <row r="5">
      <c r="A5" s="8" t="inlineStr">
        <is>
          <t>Risk-Free Rate (%)</t>
        </is>
      </c>
      <c r="B5" s="15" t="n">
        <v>0.025</v>
      </c>
      <c r="C5" s="12" t="inlineStr">
        <is>
          <t>Oman government bond yield</t>
        </is>
      </c>
    </row>
    <row r="6">
      <c r="A6" s="8" t="inlineStr">
        <is>
          <t>Market Risk Premium (%)</t>
        </is>
      </c>
      <c r="B6" s="15" t="n">
        <v>0.065</v>
      </c>
      <c r="C6" s="12" t="inlineStr">
        <is>
          <t>GCC equity market risk premium</t>
        </is>
      </c>
    </row>
    <row r="7">
      <c r="A7" s="8" t="inlineStr">
        <is>
          <t>Comparable Public Company Beta</t>
        </is>
      </c>
      <c r="B7" s="16" t="n">
        <v>1.2</v>
      </c>
      <c r="C7" s="12" t="inlineStr">
        <is>
          <t>Sector comparable levered beta</t>
        </is>
      </c>
    </row>
    <row r="8">
      <c r="A8" s="8" t="inlineStr">
        <is>
          <t>Correlation (Public Beta Relevance)</t>
        </is>
      </c>
      <c r="B8" s="16" t="n">
        <v>0.75</v>
      </c>
      <c r="C8" s="12" t="inlineStr">
        <is>
          <t>Typical 0.70-0.85 for private firms</t>
        </is>
      </c>
    </row>
    <row r="10">
      <c r="A10" s="3" t="inlineStr">
        <is>
          <t>B. BETA UNLEVERING &amp; RE-LEVERING</t>
        </is>
      </c>
      <c r="B10" s="4" t="n"/>
      <c r="C10" s="5" t="n"/>
    </row>
    <row r="11">
      <c r="A11" s="8" t="inlineStr">
        <is>
          <t>Public Company Levered Beta</t>
        </is>
      </c>
      <c r="B11" s="17">
        <f>B7</f>
        <v/>
      </c>
    </row>
    <row r="12">
      <c r="A12" s="8" t="inlineStr">
        <is>
          <t>Public Company Tax Rate</t>
        </is>
      </c>
      <c r="B12" s="15" t="n">
        <v>0.15</v>
      </c>
    </row>
    <row r="13">
      <c r="A13" s="8" t="inlineStr">
        <is>
          <t>Public Company D/E Ratio</t>
        </is>
      </c>
      <c r="B13" s="16" t="n">
        <v>0.5</v>
      </c>
    </row>
    <row r="14">
      <c r="A14" s="7" t="inlineStr">
        <is>
          <t>Unlevered Beta</t>
        </is>
      </c>
      <c r="B14" s="17">
        <f>B11/(1+(1-B12)*B13)</f>
        <v/>
      </c>
      <c r="C14" s="12">
        <f> Levered / (1 + (1-Tax) × D/E)</f>
        <v/>
      </c>
    </row>
    <row r="16">
      <c r="A16" s="8" t="inlineStr">
        <is>
          <t>Private Company Tax Rate</t>
        </is>
      </c>
      <c r="B16" s="18">
        <f>'Deal Input'!B19</f>
        <v/>
      </c>
    </row>
    <row r="17">
      <c r="A17" s="8" t="inlineStr">
        <is>
          <t>Private Company D/E Ratio</t>
        </is>
      </c>
      <c r="B17" s="17">
        <f>IF('Deal Input'!B26&gt;0,'Deal Input'!B12/'Deal Input'!B26,1.0)</f>
        <v/>
      </c>
    </row>
    <row r="18">
      <c r="A18" s="7" t="inlineStr">
        <is>
          <t>Relevered Beta (Private Firm)</t>
        </is>
      </c>
      <c r="B18" s="17">
        <f>B14*(1+(1-B16)*B17)</f>
        <v/>
      </c>
      <c r="C18" s="12">
        <f> Unlevered × (1 + (1-Tax) × D/E)</f>
        <v/>
      </c>
    </row>
    <row r="19">
      <c r="A19" s="8" t="inlineStr">
        <is>
          <t>Private Firm Size Adjustment</t>
        </is>
      </c>
      <c r="B19" s="16" t="n">
        <v>0.15</v>
      </c>
      <c r="C19" s="12" t="inlineStr">
        <is>
          <t>Typical 10-20% premium for small cap</t>
        </is>
      </c>
    </row>
    <row r="20">
      <c r="A20" s="19" t="inlineStr">
        <is>
          <t>Total Beta (Private Firm)</t>
        </is>
      </c>
      <c r="B20" s="20">
        <f>B18*(1+B19)</f>
        <v/>
      </c>
      <c r="C20" s="12">
        <f> Relevered Beta × (1 + Size Premium)</f>
        <v/>
      </c>
    </row>
    <row r="22">
      <c r="A22" s="3" t="inlineStr">
        <is>
          <t>C. COST OF EQUITY &amp; WACC</t>
        </is>
      </c>
      <c r="B22" s="4" t="n"/>
      <c r="C22" s="5" t="n"/>
    </row>
    <row r="23">
      <c r="A23" s="8" t="inlineStr">
        <is>
          <t>Cost of Equity (Base)</t>
        </is>
      </c>
      <c r="B23" s="18">
        <f>B5+B20*B6</f>
        <v/>
      </c>
      <c r="C23" s="12">
        <f> Rf + Beta × MRP</f>
        <v/>
      </c>
    </row>
    <row r="24">
      <c r="A24" s="8" t="inlineStr">
        <is>
          <t>Illiquidity Discount (%)</t>
        </is>
      </c>
      <c r="B24" s="15" t="n">
        <v>0.25</v>
      </c>
      <c r="C24" s="12" t="inlineStr">
        <is>
          <t>Standard 25% for private firms</t>
        </is>
      </c>
    </row>
    <row r="25">
      <c r="A25" s="8" t="inlineStr">
        <is>
          <t>Key-Person Discount (%)</t>
        </is>
      </c>
      <c r="B25" s="18">
        <f>IF('Deal Input'!B40&gt;=4, 0.15, IF('Deal Input'!B40&gt;=3, 0.10, 0.05))</f>
        <v/>
      </c>
      <c r="C25" s="12" t="inlineStr">
        <is>
          <t>Based on key-person dependency</t>
        </is>
      </c>
    </row>
    <row r="26">
      <c r="A26" s="19" t="inlineStr">
        <is>
          <t>Cost of Equity (Adjusted)</t>
        </is>
      </c>
      <c r="B26" s="21">
        <f>B23+B24+B25</f>
        <v/>
      </c>
      <c r="C26" s="12">
        <f> Base + Illiquidity + Key-Person</f>
        <v/>
      </c>
    </row>
    <row r="28">
      <c r="A28" s="3" t="inlineStr">
        <is>
          <t>D. SYNTHETIC CREDIT RATING (ICR-Based)</t>
        </is>
      </c>
      <c r="B28" s="4" t="n"/>
      <c r="C28" s="5" t="n"/>
    </row>
    <row r="29">
      <c r="A29" s="8" t="inlineStr">
        <is>
          <t>Interest Coverage Ratio (ICR)</t>
        </is>
      </c>
      <c r="B29" s="22">
        <f>IF('Deal Input'!B18&gt;0,'Deal Input'!B15/'Deal Input'!B18,0)</f>
        <v/>
      </c>
      <c r="C29" s="12">
        <f> EBITDA / Interest Expense</f>
        <v/>
      </c>
    </row>
    <row r="30">
      <c r="A30" s="7" t="inlineStr">
        <is>
          <t>Synthetic Credit Rating</t>
        </is>
      </c>
      <c r="B30" s="23">
        <f>IF(B29&gt;=8.5,"AAA",IF(B29&gt;=6.5,"AA",IF(B29&gt;=5.5,"A",IF(B29&gt;=4.25,"BBB",IF(B29&gt;=3,"BB",IF(B29&gt;=2,"B","CCC"))))))</f>
        <v/>
      </c>
      <c r="C30" s="12" t="inlineStr">
        <is>
          <t>Moody's equivalent</t>
        </is>
      </c>
    </row>
    <row r="31">
      <c r="A31" s="8" t="inlineStr">
        <is>
          <t>Cost of Debt (%)</t>
        </is>
      </c>
      <c r="B31" s="18">
        <f>IF(B30="AAA",0.03,IF(B30="AA",0.04,IF(B30="A",0.05,IF(B30="BBB",0.065,IF(B30="BB",0.10,IF(B30="B",0.15,0.20))))))</f>
        <v/>
      </c>
      <c r="C31" s="12" t="inlineStr">
        <is>
          <t>Based on synthetic rating</t>
        </is>
      </c>
    </row>
    <row r="33">
      <c r="A33" s="3" t="inlineStr">
        <is>
          <t>E. WEIGHTED AVERAGE COST OF CAPITAL (WACC)</t>
        </is>
      </c>
      <c r="B33" s="4" t="n"/>
      <c r="C33" s="5" t="n"/>
    </row>
    <row r="34">
      <c r="A34" s="8" t="inlineStr">
        <is>
          <t>Market Value of Equity</t>
        </is>
      </c>
      <c r="B34" s="14">
        <f>MAX(1,'Deal Input'!B26)</f>
        <v/>
      </c>
    </row>
    <row r="35">
      <c r="A35" s="8" t="inlineStr">
        <is>
          <t>Market Value of Debt</t>
        </is>
      </c>
      <c r="B35" s="14">
        <f>'Deal Input'!B12</f>
        <v/>
      </c>
    </row>
    <row r="36">
      <c r="A36" s="8" t="inlineStr">
        <is>
          <t>Total Enterprise Value</t>
        </is>
      </c>
      <c r="B36" s="14">
        <f>B34+B35</f>
        <v/>
      </c>
    </row>
    <row r="37">
      <c r="A37" s="8" t="inlineStr">
        <is>
          <t>Weight of Equity</t>
        </is>
      </c>
      <c r="B37" s="18">
        <f>B34/B36</f>
        <v/>
      </c>
    </row>
    <row r="38">
      <c r="A38" s="8" t="inlineStr">
        <is>
          <t>Weight of Debt</t>
        </is>
      </c>
      <c r="B38" s="18">
        <f>B35/B36</f>
        <v/>
      </c>
    </row>
    <row r="40">
      <c r="A40" s="24" t="inlineStr">
        <is>
          <t>WACC</t>
        </is>
      </c>
      <c r="B40" s="25">
        <f>B37*B26+B38*B31*(1-B16)</f>
        <v/>
      </c>
      <c r="C40" s="12">
        <f> (E% × CoE) + (D% × CoD × (1-Tax))</f>
        <v/>
      </c>
    </row>
  </sheetData>
  <mergeCells count="7">
    <mergeCell ref="A10:C10"/>
    <mergeCell ref="A28:C28"/>
    <mergeCell ref="A33:C33"/>
    <mergeCell ref="A1:C1"/>
    <mergeCell ref="A22:C22"/>
    <mergeCell ref="A4:C4"/>
    <mergeCell ref="A2:C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B050"/>
    <outlinePr summaryBelow="1" summaryRight="1"/>
    <pageSetUpPr/>
  </sheetPr>
  <dimension ref="A1:D44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  <col width="20" customWidth="1" min="3" max="3"/>
    <col width="45" customWidth="1" min="4" max="4"/>
  </cols>
  <sheetData>
    <row r="1" ht="35" customHeight="1">
      <c r="A1" s="1" t="inlineStr">
        <is>
          <t>RVS v4.0 DEAL SCORECARD — PRIVATE COMPANIES</t>
        </is>
      </c>
    </row>
    <row r="2">
      <c r="A2" s="10" t="inlineStr">
        <is>
          <t>ALiF Private Equity — Rescue Financing Fund I</t>
        </is>
      </c>
    </row>
    <row r="4">
      <c r="A4" s="3" t="inlineStr">
        <is>
          <t>A. RVS v4.0 INPUT VARIABLES (Private Company Adjusted)</t>
        </is>
      </c>
      <c r="B4" s="4" t="n"/>
      <c r="C4" s="4" t="n"/>
      <c r="D4" s="5" t="n"/>
    </row>
    <row r="5">
      <c r="A5" s="26" t="inlineStr">
        <is>
          <t>Variable</t>
        </is>
      </c>
      <c r="B5" s="26" t="inlineStr">
        <is>
          <t>Value</t>
        </is>
      </c>
      <c r="C5" s="26" t="inlineStr">
        <is>
          <t>Description</t>
        </is>
      </c>
      <c r="D5" s="26" t="inlineStr">
        <is>
          <t>Source</t>
        </is>
      </c>
    </row>
    <row r="6">
      <c r="A6" s="7" t="inlineStr">
        <is>
          <t>V1: DSCR (adjusted)</t>
        </is>
      </c>
      <c r="B6" s="27">
        <f>'Deal Input'!B51</f>
        <v/>
      </c>
      <c r="C6" s="8" t="inlineStr">
        <is>
          <t>Debt Service Coverage Ratio with owner comp</t>
        </is>
      </c>
      <c r="D6" s="9" t="inlineStr">
        <is>
          <t>Deal Input B51</t>
        </is>
      </c>
    </row>
    <row r="7">
      <c r="A7" s="7" t="inlineStr">
        <is>
          <t>V2: Collateral/Debt (adjusted)</t>
        </is>
      </c>
      <c r="B7" s="27">
        <f>'Deal Input'!B52</f>
        <v/>
      </c>
      <c r="C7" s="8" t="inlineStr">
        <is>
          <t>Collateral to Debt with appraisal factor</t>
        </is>
      </c>
      <c r="D7" s="9" t="inlineStr">
        <is>
          <t>Deal Input B52</t>
        </is>
      </c>
    </row>
    <row r="8">
      <c r="A8" s="7" t="inlineStr">
        <is>
          <t>V3: EBITDA Margin (adjusted)</t>
        </is>
      </c>
      <c r="B8" s="27">
        <f>'Deal Input'!B53</f>
        <v/>
      </c>
      <c r="C8" s="8" t="inlineStr">
        <is>
          <t>Normalized EBITDA Margin</t>
        </is>
      </c>
      <c r="D8" s="9" t="inlineStr">
        <is>
          <t>Deal Input B53</t>
        </is>
      </c>
    </row>
    <row r="9">
      <c r="A9" s="7" t="inlineStr">
        <is>
          <t>V4: Leverage Inverse (adjusted)</t>
        </is>
      </c>
      <c r="B9" s="27">
        <f>'Deal Input'!B54</f>
        <v/>
      </c>
      <c r="C9" s="8" t="inlineStr">
        <is>
          <t>1 / Entry Leverage</t>
        </is>
      </c>
      <c r="D9" s="9" t="inlineStr">
        <is>
          <t>Deal Input B54</t>
        </is>
      </c>
    </row>
    <row r="10">
      <c r="A10" s="7" t="inlineStr">
        <is>
          <t>V5: Cash/Debt</t>
        </is>
      </c>
      <c r="B10" s="27">
        <f>'Deal Input'!B55</f>
        <v/>
      </c>
      <c r="C10" s="8" t="inlineStr">
        <is>
          <t>Cash to Total Debt Ratio</t>
        </is>
      </c>
      <c r="D10" s="9" t="inlineStr">
        <is>
          <t>Deal Input B55</t>
        </is>
      </c>
    </row>
    <row r="11">
      <c r="A11" s="7" t="inlineStr">
        <is>
          <t>V6: Lenders (norm)</t>
        </is>
      </c>
      <c r="B11" s="27">
        <f>'Deal Input'!B56</f>
        <v/>
      </c>
      <c r="C11" s="8" t="inlineStr">
        <is>
          <t>Number of Lenders / 10</t>
        </is>
      </c>
      <c r="D11" s="9" t="inlineStr">
        <is>
          <t>Deal Input B56</t>
        </is>
      </c>
    </row>
    <row r="13">
      <c r="A13" s="3" t="inlineStr">
        <is>
          <t>B. RECOVERY MODEL — LOGISTIC REGRESSION (v4.0)</t>
        </is>
      </c>
      <c r="B13" s="4" t="n"/>
      <c r="C13" s="4" t="n"/>
      <c r="D13" s="5" t="n"/>
    </row>
    <row r="14">
      <c r="A14" s="26" t="inlineStr">
        <is>
          <t>Component</t>
        </is>
      </c>
      <c r="B14" s="26" t="inlineStr">
        <is>
          <t>Value</t>
        </is>
      </c>
      <c r="C14" s="26" t="inlineStr">
        <is>
          <t>Formula</t>
        </is>
      </c>
      <c r="D14" s="26" t="inlineStr">
        <is>
          <t>Notes</t>
        </is>
      </c>
    </row>
    <row r="15">
      <c r="A15" s="7" t="inlineStr">
        <is>
          <t>z (Linear Predictor)</t>
        </is>
      </c>
      <c r="B15" s="27">
        <f>2.1234 + 0.2801*B6 + 1.6543*B7 + 0.6892*B8 + 0.8134*B9 + 0.9456*B10 - 1.7654*B11</f>
        <v/>
      </c>
      <c r="C15" s="9" t="inlineStr">
        <is>
          <t>v4.0 coefficients (private company calibration)</t>
        </is>
      </c>
    </row>
    <row r="16">
      <c r="A16" s="7" t="inlineStr">
        <is>
          <t>P(Recovery)</t>
        </is>
      </c>
      <c r="B16" s="18">
        <f>1/(1+EXP(-B15))</f>
        <v/>
      </c>
      <c r="C16" s="9" t="inlineStr">
        <is>
          <t>Sigmoid transformation</t>
        </is>
      </c>
    </row>
    <row r="18">
      <c r="A18" s="3" t="inlineStr">
        <is>
          <t>C. HAZARD LAYER — PRIVATE FIRM ADJUSTED</t>
        </is>
      </c>
      <c r="B18" s="4" t="n"/>
      <c r="C18" s="4" t="n"/>
      <c r="D18" s="5" t="n"/>
    </row>
    <row r="19">
      <c r="A19" s="26" t="inlineStr">
        <is>
          <t>Component</t>
        </is>
      </c>
      <c r="B19" s="26" t="inlineStr">
        <is>
          <t>Value</t>
        </is>
      </c>
      <c r="C19" s="26" t="inlineStr">
        <is>
          <t>Formula</t>
        </is>
      </c>
      <c r="D19" s="26" t="inlineStr">
        <is>
          <t>Notes</t>
        </is>
      </c>
    </row>
    <row r="20">
      <c r="A20" s="8" t="inlineStr">
        <is>
          <t>Private Firm Multiplier</t>
        </is>
      </c>
      <c r="B20" s="16" t="n">
        <v>1.2</v>
      </c>
      <c r="C20" s="9" t="inlineStr">
        <is>
          <t>1.20× hazard for private firms</t>
        </is>
      </c>
    </row>
    <row r="21">
      <c r="A21" s="8" t="inlineStr">
        <is>
          <t>Governance Penalty</t>
        </is>
      </c>
      <c r="B21" s="18">
        <f>IF('Deal Input'!B39&gt;=4, 0, IF('Deal Input'!B39&gt;=3, 0.05, 0.10))</f>
        <v/>
      </c>
      <c r="C21" s="9" t="inlineStr">
        <is>
          <t>Penalty for weak governance</t>
        </is>
      </c>
    </row>
    <row r="22">
      <c r="A22" s="8" t="inlineStr">
        <is>
          <t>Concentration Penalty</t>
        </is>
      </c>
      <c r="B22" s="18">
        <f>IF('Deal Input'!B38&gt;=0.60, 0.15, IF('Deal Input'!B38&gt;=0.40, 0.08, 0))</f>
        <v/>
      </c>
      <c r="C22" s="9" t="inlineStr">
        <is>
          <t>Penalty for customer concentration</t>
        </is>
      </c>
    </row>
    <row r="23">
      <c r="A23" s="7" t="inlineStr">
        <is>
          <t>w (Hazard Predictor)</t>
        </is>
      </c>
      <c r="B23" s="27">
        <f>(-1.8765 - 0.2456*B6 + 0.3012*B7 + 0.7123*B8 - 6.8901*B9 - 26.5432*B10 + 3.7654*B11 - 0.8234*'Deal Input'!B59 + 3.6789*'Deal Input'!B60)*B20</f>
        <v/>
      </c>
      <c r="C23" s="9" t="inlineStr">
        <is>
          <t>v4.0 coefficients × private multiplier</t>
        </is>
      </c>
    </row>
    <row r="24">
      <c r="A24" s="7" t="inlineStr">
        <is>
          <t>h(t) Hazard Rate</t>
        </is>
      </c>
      <c r="B24" s="18">
        <f>1/(1+EXP(-B23))</f>
        <v/>
      </c>
      <c r="C24" s="9" t="inlineStr">
        <is>
          <t>Sigmoid of hazard predictor</t>
        </is>
      </c>
    </row>
    <row r="26">
      <c r="A26" s="7" t="inlineStr">
        <is>
          <t>Year-by-Year Survival</t>
        </is>
      </c>
      <c r="B26" s="4" t="n"/>
      <c r="C26" s="4" t="n"/>
      <c r="D26" s="5" t="n"/>
    </row>
    <row r="27">
      <c r="A27" s="26" t="inlineStr">
        <is>
          <t>Year</t>
        </is>
      </c>
      <c r="B27" s="26" t="inlineStr">
        <is>
          <t>h(t)</t>
        </is>
      </c>
      <c r="C27" s="26" t="inlineStr">
        <is>
          <t>Survival (1-h(t))</t>
        </is>
      </c>
      <c r="D27" s="26" t="inlineStr">
        <is>
          <t>Cumulative S(t)</t>
        </is>
      </c>
    </row>
    <row r="28">
      <c r="A28" s="8" t="inlineStr">
        <is>
          <t>Year 1</t>
        </is>
      </c>
      <c r="B28" s="18">
        <f>1/(1+EXP(-(-1.8765 - 0.2456*B6 + 0.3012*B7 + 0.7123*B8 - 6.8901*B9 - 26.5432*B10 + 3.7654*B11 - 0.8234*0 + 3.6789*'Deal Input'!B60)*1.20))</f>
        <v/>
      </c>
      <c r="C28" s="18">
        <f>1-B28</f>
        <v/>
      </c>
      <c r="D28" s="18">
        <f>C28</f>
        <v/>
      </c>
    </row>
    <row r="29">
      <c r="A29" s="8" t="inlineStr">
        <is>
          <t>Year 2</t>
        </is>
      </c>
      <c r="B29" s="18">
        <f>1/(1+EXP(-(-1.8765 - 0.2456*B6 + 0.3012*B7 + 0.7123*B8 - 6.8901*B9 - 26.5432*B10 + 3.7654*B11 - 0.8234*0 + 3.6789*'Deal Input'!B60)*1.20))</f>
        <v/>
      </c>
      <c r="C29" s="18">
        <f>1-B29</f>
        <v/>
      </c>
      <c r="D29" s="18">
        <f>D28*C29</f>
        <v/>
      </c>
    </row>
    <row r="30">
      <c r="A30" s="8" t="inlineStr">
        <is>
          <t>Year 3</t>
        </is>
      </c>
      <c r="B30" s="18">
        <f>1/(1+EXP(-(-1.8765 - 0.2456*B6 + 0.3012*B7 + 0.7123*B8 - 6.8901*B9 - 26.5432*B10 + 3.7654*B11 - 0.8234*1 + 3.6789*'Deal Input'!B60)*1.20))</f>
        <v/>
      </c>
      <c r="C30" s="18">
        <f>1-B30</f>
        <v/>
      </c>
      <c r="D30" s="18">
        <f>D29*C30</f>
        <v/>
      </c>
    </row>
    <row r="31">
      <c r="A31" s="8" t="inlineStr">
        <is>
          <t>Year 4</t>
        </is>
      </c>
      <c r="B31" s="18">
        <f>1/(1+EXP(-(-1.8765 - 0.2456*B6 + 0.3012*B7 + 0.7123*B8 - 6.8901*B9 - 26.5432*B10 + 3.7654*B11 - 0.8234*1 + 3.6789*'Deal Input'!B60)*1.20))</f>
        <v/>
      </c>
      <c r="C31" s="18">
        <f>1-B31</f>
        <v/>
      </c>
      <c r="D31" s="18">
        <f>D30*C31</f>
        <v/>
      </c>
    </row>
    <row r="32">
      <c r="A32" s="8" t="inlineStr">
        <is>
          <t>Year 5</t>
        </is>
      </c>
      <c r="B32" s="18">
        <f>1/(1+EXP(-(-1.8765 - 0.2456*B6 + 0.3012*B7 + 0.7123*B8 - 6.8901*B9 - 26.5432*B10 + 3.7654*B11 - 0.8234*1 + 3.6789*'Deal Input'!B60)*1.20))</f>
        <v/>
      </c>
      <c r="C32" s="18">
        <f>1-B32</f>
        <v/>
      </c>
      <c r="D32" s="18">
        <f>D31*C32</f>
        <v/>
      </c>
    </row>
    <row r="33">
      <c r="A33" s="7" t="inlineStr">
        <is>
          <t>S(5) — 5-Year Survival</t>
        </is>
      </c>
      <c r="B33" s="18">
        <f>D32</f>
        <v/>
      </c>
    </row>
    <row r="35">
      <c r="A35" s="3" t="inlineStr">
        <is>
          <t>D. COMPOSITE V4 SCORE &amp; ADJUSTMENTS</t>
        </is>
      </c>
      <c r="B35" s="4" t="n"/>
      <c r="C35" s="4" t="n"/>
      <c r="D35" s="5" t="n"/>
    </row>
    <row r="36">
      <c r="A36" s="26" t="inlineStr">
        <is>
          <t>Metric</t>
        </is>
      </c>
      <c r="B36" s="26" t="inlineStr">
        <is>
          <t>Value</t>
        </is>
      </c>
      <c r="C36" s="26" t="inlineStr">
        <is>
          <t>Formula</t>
        </is>
      </c>
      <c r="D36" s="26" t="inlineStr">
        <is>
          <t>Notes</t>
        </is>
      </c>
    </row>
    <row r="37">
      <c r="A37" s="8" t="inlineStr">
        <is>
          <t>P(Recovery)</t>
        </is>
      </c>
      <c r="B37" s="18">
        <f>B16</f>
        <v/>
      </c>
      <c r="C37" s="9" t="inlineStr">
        <is>
          <t>Weight: 50%</t>
        </is>
      </c>
    </row>
    <row r="38">
      <c r="A38" s="8" t="inlineStr">
        <is>
          <t>S(5) — 5-Year Survival</t>
        </is>
      </c>
      <c r="B38" s="18">
        <f>B33</f>
        <v/>
      </c>
      <c r="C38" s="9" t="inlineStr">
        <is>
          <t>Weight: 30%</t>
        </is>
      </c>
    </row>
    <row r="39">
      <c r="A39" s="8" t="inlineStr">
        <is>
          <t>Information Asymmetry Adjustment</t>
        </is>
      </c>
      <c r="B39" s="18">
        <f>IF('Deal Input'!B41&gt;=4, 0.10, IF('Deal Input'!B41&gt;=3, 0.15, 0.20))</f>
        <v/>
      </c>
      <c r="C39" s="9" t="inlineStr">
        <is>
          <t>Based on reporting quality</t>
        </is>
      </c>
    </row>
    <row r="40">
      <c r="A40" s="8" t="inlineStr">
        <is>
          <t>Governance Factor</t>
        </is>
      </c>
      <c r="B40" s="18">
        <f>1-B21</f>
        <v/>
      </c>
      <c r="C40" s="9" t="inlineStr">
        <is>
          <t>1 - Governance Penalty</t>
        </is>
      </c>
    </row>
    <row r="42">
      <c r="A42" s="24" t="inlineStr">
        <is>
          <t>COMPOSITE V4 SCORE</t>
        </is>
      </c>
      <c r="B42" s="25">
        <f>0.50*B37 + 0.30*B38 + (1-B39)*B40*0.20</f>
        <v/>
      </c>
      <c r="C42" s="9" t="inlineStr">
        <is>
          <t>Blended recovery-survival-governance</t>
        </is>
      </c>
    </row>
    <row r="44">
      <c r="A44" s="28" t="inlineStr">
        <is>
          <t>VERDICT</t>
        </is>
      </c>
      <c r="B44" s="29">
        <f>IF(B42&gt;=0.70,"GO",IF(B42&gt;=0.50,"CONDITIONAL","NO-GO"))</f>
        <v/>
      </c>
    </row>
  </sheetData>
  <mergeCells count="7">
    <mergeCell ref="A1:D1"/>
    <mergeCell ref="A18:D18"/>
    <mergeCell ref="A35:D35"/>
    <mergeCell ref="A4:D4"/>
    <mergeCell ref="A26:D26"/>
    <mergeCell ref="A2:D2"/>
    <mergeCell ref="A13:D1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70AD47"/>
    <outlinePr summaryBelow="1" summaryRight="1"/>
    <pageSetUpPr/>
  </sheetPr>
  <dimension ref="A1:C23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  <col width="50" customWidth="1" min="3" max="3"/>
  </cols>
  <sheetData>
    <row r="1" ht="35" customHeight="1">
      <c r="A1" s="1" t="inlineStr">
        <is>
          <t>SHARIAH COMPLIANCE SCREENING — 3-SCREEN FRAMEWORK</t>
        </is>
      </c>
    </row>
    <row r="2">
      <c r="A2" s="10" t="inlineStr">
        <is>
          <t>ALiF Private Equity — Islamic Finance Compliance</t>
        </is>
      </c>
    </row>
    <row r="4">
      <c r="A4" s="3" t="inlineStr">
        <is>
          <t>SHARIAH 3-SCREEN COMPLIANCE TEST</t>
        </is>
      </c>
      <c r="B4" s="4" t="n"/>
      <c r="C4" s="5" t="n"/>
    </row>
    <row r="5">
      <c r="A5" s="7" t="inlineStr">
        <is>
          <t>Screen 1: Debt/Assets Ratio</t>
        </is>
      </c>
      <c r="B5" s="18">
        <f>IF('Deal Input'!B22&gt;0,'Deal Input'!B12/'Deal Input'!B22,0)</f>
        <v/>
      </c>
      <c r="C5" s="9" t="inlineStr">
        <is>
          <t>Threshold: &lt; 33%</t>
        </is>
      </c>
    </row>
    <row r="6">
      <c r="A6" s="7" t="inlineStr">
        <is>
          <t>Screen 1 Status</t>
        </is>
      </c>
      <c r="B6" s="23">
        <f>IF(B5&lt;0.33,"PASS","FAIL")</f>
        <v/>
      </c>
      <c r="C6" s="9" t="inlineStr">
        <is>
          <t>Debt must be &lt; 33% of assets</t>
        </is>
      </c>
    </row>
    <row r="8">
      <c r="A8" s="7" t="inlineStr">
        <is>
          <t>Screen 2: Interest Income / Revenue</t>
        </is>
      </c>
      <c r="B8" s="18">
        <f>IF('Deal Input'!B13&gt;0,'Deal Input'!B18/'Deal Input'!B13,0)</f>
        <v/>
      </c>
      <c r="C8" s="9" t="inlineStr">
        <is>
          <t>Threshold: &lt; 5%</t>
        </is>
      </c>
    </row>
    <row r="9">
      <c r="A9" s="7" t="inlineStr">
        <is>
          <t>Screen 2 Status</t>
        </is>
      </c>
      <c r="B9" s="23">
        <f>IF(B8&lt;0.05,"PASS","FAIL")</f>
        <v/>
      </c>
      <c r="C9" s="9" t="inlineStr">
        <is>
          <t>Interest income must be &lt; 5% of revenue</t>
        </is>
      </c>
    </row>
    <row r="11">
      <c r="A11" s="7" t="inlineStr">
        <is>
          <t>Screen 3: Non-Permissible Activities / Revenue</t>
        </is>
      </c>
      <c r="B11" s="15" t="n">
        <v>0</v>
      </c>
      <c r="C11" s="9" t="inlineStr">
        <is>
          <t>User input: % revenue from haram activities</t>
        </is>
      </c>
    </row>
    <row r="12">
      <c r="A12" s="7" t="inlineStr">
        <is>
          <t>Screen 3 Status</t>
        </is>
      </c>
      <c r="B12" s="23">
        <f>IF(B11&lt;0.05,"PASS","FAIL")</f>
        <v/>
      </c>
      <c r="C12" s="9" t="inlineStr">
        <is>
          <t>Non-permissible must be &lt; 5% of revenue</t>
        </is>
      </c>
    </row>
    <row r="14">
      <c r="A14" s="3" t="inlineStr">
        <is>
          <t>OVERALL SHARIAH COMPLIANCE</t>
        </is>
      </c>
      <c r="B14" s="4" t="n"/>
      <c r="C14" s="5" t="n"/>
    </row>
    <row r="15">
      <c r="A15" s="8" t="inlineStr">
        <is>
          <t>Screen 1 (Debt/Assets)</t>
        </is>
      </c>
      <c r="B15" s="23">
        <f>B6</f>
        <v/>
      </c>
    </row>
    <row r="16">
      <c r="A16" s="8" t="inlineStr">
        <is>
          <t>Screen 2 (Interest Income)</t>
        </is>
      </c>
      <c r="B16" s="23">
        <f>B9</f>
        <v/>
      </c>
    </row>
    <row r="17">
      <c r="A17" s="8" t="inlineStr">
        <is>
          <t>Screen 3 (Non-Permissible)</t>
        </is>
      </c>
      <c r="B17" s="23">
        <f>B12</f>
        <v/>
      </c>
    </row>
    <row r="19">
      <c r="A19" s="24" t="inlineStr">
        <is>
          <t>SHARIAH COMPLIANCE VERDICT</t>
        </is>
      </c>
      <c r="B19" s="30">
        <f>IF(AND(B6="PASS",B9="PASS",B12="PASS"),"SHARIAH COMPLIANT","NON-COMPLIANT")</f>
        <v/>
      </c>
    </row>
    <row r="21">
      <c r="A21" s="12" t="inlineStr">
        <is>
          <t>Interpretation</t>
        </is>
      </c>
    </row>
    <row r="22">
      <c r="A22" s="6" t="inlineStr">
        <is>
          <t>SHARIAH COMPLIANT: All 3 screens pass. Investment is permissible under Islamic finance principles.</t>
        </is>
      </c>
    </row>
    <row r="23">
      <c r="A23" s="6" t="inlineStr">
        <is>
          <t>NON-COMPLIANT: One or more screens fail. Investment violates Islamic finance principles.</t>
        </is>
      </c>
    </row>
  </sheetData>
  <mergeCells count="4">
    <mergeCell ref="A1:C1"/>
    <mergeCell ref="A4:C4"/>
    <mergeCell ref="A14:C14"/>
    <mergeCell ref="A2:C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FF0000"/>
    <outlinePr summaryBelow="1" summaryRight="1"/>
    <pageSetUpPr/>
  </sheetPr>
  <dimension ref="A1:C20"/>
  <sheetViews>
    <sheetView workbookViewId="0">
      <selection activeCell="A1" sqref="A1"/>
    </sheetView>
  </sheetViews>
  <sheetFormatPr baseColWidth="8" defaultRowHeight="15"/>
  <cols>
    <col width="40" customWidth="1" min="1" max="1"/>
    <col width="22" customWidth="1" min="2" max="2"/>
    <col width="50" customWidth="1" min="3" max="3"/>
  </cols>
  <sheetData>
    <row r="1" ht="35" customHeight="1">
      <c r="A1" s="1" t="inlineStr">
        <is>
          <t>CREDIT RISK &amp; HAIRCUT ANALYSIS — PRIVATE COMPANIES</t>
        </is>
      </c>
    </row>
    <row r="2">
      <c r="A2" s="10" t="inlineStr">
        <is>
          <t>ALiF Private Equity — RVS v4.0</t>
        </is>
      </c>
    </row>
    <row r="4">
      <c r="A4" s="3" t="inlineStr">
        <is>
          <t>PROBABILITY OF DEFAULT (PD)</t>
        </is>
      </c>
      <c r="B4" s="4" t="n"/>
      <c r="C4" s="5" t="n"/>
    </row>
    <row r="5">
      <c r="A5" s="26" t="inlineStr">
        <is>
          <t>Metric</t>
        </is>
      </c>
      <c r="B5" s="26" t="inlineStr">
        <is>
          <t>Value</t>
        </is>
      </c>
      <c r="C5" s="26" t="inlineStr">
        <is>
          <t>Formula / Notes</t>
        </is>
      </c>
    </row>
    <row r="6">
      <c r="A6" s="8" t="inlineStr">
        <is>
          <t>Composite V4 Score</t>
        </is>
      </c>
      <c r="B6" s="18">
        <f>Scorecard!B42</f>
        <v/>
      </c>
    </row>
    <row r="7">
      <c r="A7" s="7" t="inlineStr">
        <is>
          <t>Probability of Default (PD)</t>
        </is>
      </c>
      <c r="B7" s="18">
        <f>MAX(0.02, MIN(0.95, 1 - Scorecard!B42))</f>
        <v/>
      </c>
      <c r="C7" s="9" t="inlineStr">
        <is>
          <t>PD = 1 - V4, bounded [2%, 95%]</t>
        </is>
      </c>
    </row>
    <row r="8">
      <c r="A8" s="8" t="inlineStr">
        <is>
          <t>PD Rating</t>
        </is>
      </c>
      <c r="B8" s="23">
        <f>IF(B7&lt;=0.05,"Investment Grade",IF(B7&lt;=0.15,"Speculative",IF(B7&lt;=0.30,"High Yield","Distressed")))</f>
        <v/>
      </c>
    </row>
    <row r="10">
      <c r="A10" s="3" t="inlineStr">
        <is>
          <t>LOSS GIVEN DEFAULT (LGD)</t>
        </is>
      </c>
      <c r="B10" s="4" t="n"/>
      <c r="C10" s="5" t="n"/>
    </row>
    <row r="11">
      <c r="A11" s="8" t="inlineStr">
        <is>
          <t>Adjusted Collateral Value (OMR '000)</t>
        </is>
      </c>
      <c r="B11" s="14">
        <f>'Deal Input'!B70</f>
        <v/>
      </c>
    </row>
    <row r="12">
      <c r="A12" s="8" t="inlineStr">
        <is>
          <t>Total Debt (OMR '000)</t>
        </is>
      </c>
      <c r="B12" s="14">
        <f>'Deal Input'!B12</f>
        <v/>
      </c>
    </row>
    <row r="13">
      <c r="A13" s="8" t="inlineStr">
        <is>
          <t>Recovery Rate (Collateral)</t>
        </is>
      </c>
      <c r="B13" s="18">
        <f>IF(B12&gt;0, MIN(1, B11*0.70/B12), 0)</f>
        <v/>
      </c>
    </row>
    <row r="14">
      <c r="A14" s="7" t="inlineStr">
        <is>
          <t>Loss Given Default (LGD)</t>
        </is>
      </c>
      <c r="B14" s="18">
        <f>MAX(0, MIN(1, 1 - B13))</f>
        <v/>
      </c>
    </row>
    <row r="16">
      <c r="A16" s="3" t="inlineStr">
        <is>
          <t>EXPECTED LOSS &amp; HAIRCUT PRICING</t>
        </is>
      </c>
      <c r="B16" s="4" t="n"/>
      <c r="C16" s="5" t="n"/>
    </row>
    <row r="17">
      <c r="A17" s="7" t="inlineStr">
        <is>
          <t>Expected Loss (OMR '000)</t>
        </is>
      </c>
      <c r="B17" s="14">
        <f>B7*B14*B12</f>
        <v/>
      </c>
    </row>
    <row r="18">
      <c r="A18" s="19" t="inlineStr">
        <is>
          <t>Recommended Haircut %</t>
        </is>
      </c>
      <c r="B18" s="21">
        <f>MIN(0.50, B7*B14)</f>
        <v/>
      </c>
    </row>
    <row r="19">
      <c r="A19" s="7" t="inlineStr">
        <is>
          <t>Acquisition Price (OMR '000)</t>
        </is>
      </c>
      <c r="B19" s="14">
        <f>B12*(1-B18)</f>
        <v/>
      </c>
    </row>
    <row r="20">
      <c r="A20" s="7" t="inlineStr">
        <is>
          <t>Day-1 Gain (OMR '000)</t>
        </is>
      </c>
      <c r="B20" s="14">
        <f>B12-B19</f>
        <v/>
      </c>
    </row>
  </sheetData>
  <mergeCells count="5">
    <mergeCell ref="A10:C10"/>
    <mergeCell ref="A1:C1"/>
    <mergeCell ref="A16:C16"/>
    <mergeCell ref="A4:C4"/>
    <mergeCell ref="A2:C2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C55A11"/>
    <outlinePr summaryBelow="1" summaryRight="1"/>
    <pageSetUpPr/>
  </sheetPr>
  <dimension ref="A1:C28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  <col width="50" customWidth="1" min="3" max="3"/>
  </cols>
  <sheetData>
    <row r="1" ht="35" customHeight="1">
      <c r="A1" s="1" t="inlineStr">
        <is>
          <t>DISCRETE-TIME HAZARD MODEL — DETAILED BREAKDOWN</t>
        </is>
      </c>
    </row>
    <row r="2">
      <c r="A2" s="10" t="inlineStr">
        <is>
          <t>ALiF Private Equity — RVS v4.0 Hazard Analysis</t>
        </is>
      </c>
    </row>
    <row r="4">
      <c r="A4" s="3" t="inlineStr">
        <is>
          <t>HAZARD MODEL COMPONENTS</t>
        </is>
      </c>
      <c r="B4" s="4" t="n"/>
      <c r="C4" s="5" t="n"/>
    </row>
    <row r="5">
      <c r="A5" s="8" t="inlineStr">
        <is>
          <t>Base Hazard Intercept</t>
        </is>
      </c>
      <c r="B5" s="23" t="inlineStr">
        <is>
          <t>-1.8765</t>
        </is>
      </c>
    </row>
    <row r="6">
      <c r="A6" s="8" t="inlineStr">
        <is>
          <t>V1 (DSCR) Coefficient</t>
        </is>
      </c>
      <c r="B6" s="23" t="inlineStr">
        <is>
          <t>-0.2456</t>
        </is>
      </c>
    </row>
    <row r="7">
      <c r="A7" s="8" t="inlineStr">
        <is>
          <t>V2 (Collateral/Debt) Coefficient</t>
        </is>
      </c>
      <c r="B7" s="23" t="inlineStr">
        <is>
          <t>+0.3012</t>
        </is>
      </c>
    </row>
    <row r="8">
      <c r="A8" s="8" t="inlineStr">
        <is>
          <t>V3 (EBITDA Margin) Coefficient</t>
        </is>
      </c>
      <c r="B8" s="23" t="inlineStr">
        <is>
          <t>+0.7123</t>
        </is>
      </c>
    </row>
    <row r="9">
      <c r="A9" s="8" t="inlineStr">
        <is>
          <t>V4 (Leverage Inverse) Coefficient</t>
        </is>
      </c>
      <c r="B9" s="23" t="inlineStr">
        <is>
          <t>-6.8901</t>
        </is>
      </c>
    </row>
    <row r="10">
      <c r="A10" s="8" t="inlineStr">
        <is>
          <t>V5 (Cash/Debt) Coefficient</t>
        </is>
      </c>
      <c r="B10" s="23" t="inlineStr">
        <is>
          <t>-26.5432</t>
        </is>
      </c>
    </row>
    <row r="11">
      <c r="A11" s="8" t="inlineStr">
        <is>
          <t>V6 (Lenders) Coefficient</t>
        </is>
      </c>
      <c r="B11" s="23" t="inlineStr">
        <is>
          <t>+3.7654</t>
        </is>
      </c>
    </row>
    <row r="12">
      <c r="A12" s="8" t="inlineStr">
        <is>
          <t>Time Dummy Coefficient</t>
        </is>
      </c>
      <c r="B12" s="23" t="inlineStr">
        <is>
          <t>-0.8234</t>
        </is>
      </c>
    </row>
    <row r="13">
      <c r="A13" s="8" t="inlineStr">
        <is>
          <t>COVID Dummy Coefficient</t>
        </is>
      </c>
      <c r="B13" s="23" t="inlineStr">
        <is>
          <t>+3.6789</t>
        </is>
      </c>
    </row>
    <row r="14">
      <c r="A14" s="8" t="inlineStr">
        <is>
          <t>Private Firm Multiplier</t>
        </is>
      </c>
      <c r="B14" s="23" t="inlineStr">
        <is>
          <t>1.20</t>
        </is>
      </c>
    </row>
    <row r="16">
      <c r="A16" s="3" t="inlineStr">
        <is>
          <t>YEAR-BY-YEAR HAZARD RATES</t>
        </is>
      </c>
      <c r="B16" s="4" t="n"/>
      <c r="C16" s="5" t="n"/>
    </row>
    <row r="17">
      <c r="A17" s="26" t="inlineStr">
        <is>
          <t>Year</t>
        </is>
      </c>
      <c r="B17" s="26" t="inlineStr">
        <is>
          <t>Hazard Rate h(t)</t>
        </is>
      </c>
      <c r="C17" s="26" t="inlineStr">
        <is>
          <t>Survival 1-h(t)</t>
        </is>
      </c>
    </row>
    <row r="18">
      <c r="A18" s="8" t="inlineStr">
        <is>
          <t>Year 1</t>
        </is>
      </c>
      <c r="B18" s="18">
        <f>1/(1+EXP(-(-1.8765 - 0.2456*Scorecard!B6 + 0.3012*Scorecard!B7 + 0.7123*Scorecard!B8 - 6.8901*Scorecard!B9 - 26.5432*Scorecard!B10 + 3.7654*Scorecard!B11 - 0.8234*0 + 3.6789*'Deal Input'!B60)*1.20))</f>
        <v/>
      </c>
      <c r="C18" s="18">
        <f>1-B18</f>
        <v/>
      </c>
    </row>
    <row r="19">
      <c r="A19" s="8" t="inlineStr">
        <is>
          <t>Year 2</t>
        </is>
      </c>
      <c r="B19" s="18">
        <f>1/(1+EXP(-(-1.8765 - 0.2456*Scorecard!B6 + 0.3012*Scorecard!B7 + 0.7123*Scorecard!B8 - 6.8901*Scorecard!B9 - 26.5432*Scorecard!B10 + 3.7654*Scorecard!B11 - 0.8234*0 + 3.6789*'Deal Input'!B60)*1.20))</f>
        <v/>
      </c>
      <c r="C19" s="18">
        <f>1-B19</f>
        <v/>
      </c>
    </row>
    <row r="20">
      <c r="A20" s="8" t="inlineStr">
        <is>
          <t>Year 3</t>
        </is>
      </c>
      <c r="B20" s="18">
        <f>1/(1+EXP(-(-1.8765 - 0.2456*Scorecard!B6 + 0.3012*Scorecard!B7 + 0.7123*Scorecard!B8 - 6.8901*Scorecard!B9 - 26.5432*Scorecard!B10 + 3.7654*Scorecard!B11 - 0.8234*1 + 3.6789*'Deal Input'!B60)*1.20))</f>
        <v/>
      </c>
      <c r="C20" s="18">
        <f>1-B20</f>
        <v/>
      </c>
    </row>
    <row r="21">
      <c r="A21" s="8" t="inlineStr">
        <is>
          <t>Year 4</t>
        </is>
      </c>
      <c r="B21" s="18">
        <f>1/(1+EXP(-(-1.8765 - 0.2456*Scorecard!B6 + 0.3012*Scorecard!B7 + 0.7123*Scorecard!B8 - 6.8901*Scorecard!B9 - 26.5432*Scorecard!B10 + 3.7654*Scorecard!B11 - 0.8234*1 + 3.6789*'Deal Input'!B60)*1.20))</f>
        <v/>
      </c>
      <c r="C21" s="18">
        <f>1-B21</f>
        <v/>
      </c>
    </row>
    <row r="22">
      <c r="A22" s="8" t="inlineStr">
        <is>
          <t>Year 5</t>
        </is>
      </c>
      <c r="B22" s="18">
        <f>1/(1+EXP(-(-1.8765 - 0.2456*Scorecard!B6 + 0.3012*Scorecard!B7 + 0.7123*Scorecard!B8 - 6.8901*Scorecard!B9 - 26.5432*Scorecard!B10 + 3.7654*Scorecard!B11 - 0.8234*1 + 3.6789*'Deal Input'!B60)*1.20))</f>
        <v/>
      </c>
      <c r="C22" s="18">
        <f>1-B22</f>
        <v/>
      </c>
    </row>
    <row r="23">
      <c r="A23" s="3" t="inlineStr">
        <is>
          <t>CUMULATIVE SURVIVAL ANALYSIS</t>
        </is>
      </c>
      <c r="B23" s="4" t="n"/>
      <c r="C23" s="5" t="n"/>
    </row>
    <row r="24">
      <c r="A24" s="8" t="inlineStr">
        <is>
          <t>Year 1 Survival</t>
        </is>
      </c>
      <c r="B24" s="18">
        <f>C18</f>
        <v/>
      </c>
    </row>
    <row r="25">
      <c r="A25" s="8" t="inlineStr">
        <is>
          <t>Year 2 Survival</t>
        </is>
      </c>
      <c r="B25" s="18">
        <f>C18*C19</f>
        <v/>
      </c>
    </row>
    <row r="26">
      <c r="A26" s="8" t="inlineStr">
        <is>
          <t>Year 3 Survival</t>
        </is>
      </c>
      <c r="B26" s="18">
        <f>C25*C20</f>
        <v/>
      </c>
    </row>
    <row r="27">
      <c r="A27" s="8" t="inlineStr">
        <is>
          <t>Year 4 Survival</t>
        </is>
      </c>
      <c r="B27" s="18">
        <f>C26*C21</f>
        <v/>
      </c>
    </row>
    <row r="28">
      <c r="A28" s="19" t="inlineStr">
        <is>
          <t>Year 5 Survival S(5)</t>
        </is>
      </c>
      <c r="B28" s="21">
        <f>C27*C22</f>
        <v/>
      </c>
    </row>
  </sheetData>
  <mergeCells count="5">
    <mergeCell ref="A1:C1"/>
    <mergeCell ref="A23:C23"/>
    <mergeCell ref="A16:C16"/>
    <mergeCell ref="A4:C4"/>
    <mergeCell ref="A2:C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7030A0"/>
    <outlinePr summaryBelow="1" summaryRight="1"/>
    <pageSetUpPr/>
  </sheetPr>
  <dimension ref="A1:G49"/>
  <sheetViews>
    <sheetView workbookViewId="0">
      <selection activeCell="A1" sqref="A1"/>
    </sheetView>
  </sheetViews>
  <sheetFormatPr baseColWidth="8" defaultRowHeight="15"/>
  <cols>
    <col width="35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</cols>
  <sheetData>
    <row r="1" ht="35" customHeight="1">
      <c r="A1" s="1" t="inlineStr">
        <is>
          <t>FUND MODEL &amp; IRR PROJECTIONS — 5-YEAR HORIZON</t>
        </is>
      </c>
    </row>
    <row r="2">
      <c r="A2" s="10" t="inlineStr">
        <is>
          <t>ALiF Private Equity — RVS v4.0 (Private Companies)</t>
        </is>
      </c>
    </row>
    <row r="4">
      <c r="A4" s="3" t="inlineStr">
        <is>
          <t>A. SOURCES &amp; USES OF FUNDS</t>
        </is>
      </c>
      <c r="B4" s="4" t="n"/>
      <c r="C4" s="4" t="n"/>
      <c r="D4" s="4" t="n"/>
      <c r="E4" s="4" t="n"/>
      <c r="F4" s="4" t="n"/>
      <c r="G4" s="5" t="n"/>
    </row>
    <row r="6">
      <c r="A6" s="51" t="inlineStr">
        <is>
          <t>RESCUE TRANCHE STRUCTURE OPTIONS</t>
        </is>
      </c>
    </row>
    <row r="7">
      <c r="A7" s="52" t="inlineStr">
        <is>
          <t>Structure Type</t>
        </is>
      </c>
      <c r="B7" s="52" t="inlineStr">
        <is>
          <t>Amount (OMR)</t>
        </is>
      </c>
      <c r="C7" s="52" t="inlineStr">
        <is>
          <t>Pricing</t>
        </is>
      </c>
      <c r="D7" s="52" t="inlineStr">
        <is>
          <t>Notes</t>
        </is>
      </c>
    </row>
    <row r="8">
      <c r="A8" t="inlineStr">
        <is>
          <t>Commodity Murabaha (100%)</t>
        </is>
      </c>
      <c r="B8" t="n">
        <v>2500</v>
      </c>
      <c r="C8" t="inlineStr">
        <is>
          <t>14.5% PIK</t>
        </is>
      </c>
      <c r="D8" t="inlineStr">
        <is>
          <t>Fixed interest, on-balance-sheet debt</t>
        </is>
      </c>
    </row>
    <row r="9">
      <c r="A9" t="inlineStr">
        <is>
          <t>PSIA-Hybrid (60/40)</t>
        </is>
      </c>
      <c r="B9" t="n">
        <v>2500</v>
      </c>
      <c r="C9" t="inlineStr">
        <is>
          <t>20% profit share / 14.5% PIK</t>
        </is>
      </c>
      <c r="D9" t="inlineStr">
        <is>
          <t>PSIA off-balance-sheet, improves leverage ratio</t>
        </is>
      </c>
    </row>
    <row r="10">
      <c r="A10" t="inlineStr">
        <is>
          <t>Pure PSIA (100%)</t>
        </is>
      </c>
      <c r="B10" t="n">
        <v>2500</v>
      </c>
      <c r="C10" t="inlineStr">
        <is>
          <t>20% profit share</t>
        </is>
      </c>
      <c r="D10" t="inlineStr">
        <is>
          <t>Maximum leverage relief, equity-like</t>
        </is>
      </c>
    </row>
    <row r="11">
      <c r="A11" s="31" t="inlineStr">
        <is>
          <t>SOURCES</t>
        </is>
      </c>
    </row>
    <row r="12">
      <c r="A12" s="53" t="inlineStr">
        <is>
          <t>IMPACT ANALYSIS</t>
        </is>
      </c>
      <c r="B12" s="4" t="n"/>
      <c r="C12" s="4" t="n"/>
      <c r="D12" s="4" t="n"/>
      <c r="E12" s="5" t="n"/>
    </row>
    <row r="13">
      <c r="A13" s="54" t="inlineStr">
        <is>
          <t>Metric</t>
        </is>
      </c>
      <c r="B13" s="55" t="inlineStr">
        <is>
          <t>Murabaha</t>
        </is>
      </c>
      <c r="C13" s="52" t="inlineStr">
        <is>
          <t>PSIA-Hybrid</t>
        </is>
      </c>
      <c r="D13" s="52" t="inlineStr">
        <is>
          <t>Pure PSIA</t>
        </is>
      </c>
      <c r="E13" s="52" t="inlineStr">
        <is>
          <t>Recommended</t>
        </is>
      </c>
    </row>
    <row r="14">
      <c r="A14" s="8" t="inlineStr">
        <is>
          <t>Year 2 DSCR</t>
        </is>
      </c>
      <c r="B14" s="17" t="n">
        <v>1.38</v>
      </c>
      <c r="C14" s="56" t="n">
        <v>1.63</v>
      </c>
      <c r="D14" s="56" t="n">
        <v>1.68</v>
      </c>
      <c r="E14" t="inlineStr">
        <is>
          <t>✓</t>
        </is>
      </c>
    </row>
    <row r="15">
      <c r="A15" s="7" t="inlineStr">
        <is>
          <t>Day 1 Debt/TA</t>
        </is>
      </c>
      <c r="B15" s="57" t="n">
        <v>0.298</v>
      </c>
      <c r="C15" s="56" t="n">
        <v>0.263</v>
      </c>
      <c r="D15" s="56" t="n">
        <v>0.188</v>
      </c>
      <c r="E15" t="inlineStr">
        <is>
          <t>✓</t>
        </is>
      </c>
    </row>
    <row r="16">
      <c r="A16" t="inlineStr">
        <is>
          <t>Year 1 Cash Burden</t>
        </is>
      </c>
      <c r="B16" s="56" t="n">
        <v>363</v>
      </c>
      <c r="C16" s="56" t="n">
        <v>175</v>
      </c>
      <c r="D16" s="56" t="n">
        <v>0</v>
      </c>
      <c r="E16" t="inlineStr">
        <is>
          <t>✓</t>
        </is>
      </c>
    </row>
    <row r="17">
      <c r="A17" s="31" t="inlineStr">
        <is>
          <t>Failure Case MoM (8.0x)</t>
        </is>
      </c>
      <c r="B17" s="56" t="n">
        <v>1.14</v>
      </c>
      <c r="C17" s="56" t="n">
        <v>1.2</v>
      </c>
      <c r="D17" s="56" t="n">
        <v>1.25</v>
      </c>
      <c r="E17" t="inlineStr">
        <is>
          <t>✓</t>
        </is>
      </c>
    </row>
    <row r="18">
      <c r="A18" s="8" t="inlineStr">
        <is>
          <t xml:space="preserve">  Debt Acquisition (at Haircut)</t>
        </is>
      </c>
      <c r="B18" s="14">
        <f>'Credit Risk'!B19</f>
        <v/>
      </c>
    </row>
    <row r="19">
      <c r="A19" s="8" t="inlineStr">
        <is>
          <t xml:space="preserve">  Capex &amp; Expansion</t>
        </is>
      </c>
      <c r="B19" s="14">
        <f>'Deal Input'!B45</f>
        <v/>
      </c>
    </row>
    <row r="20">
      <c r="A20" s="8" t="inlineStr">
        <is>
          <t xml:space="preserve">  Working Capital Reserve</t>
        </is>
      </c>
      <c r="B20" s="14">
        <f>B10-B13-B14</f>
        <v/>
      </c>
    </row>
    <row r="21">
      <c r="A21" s="7" t="inlineStr">
        <is>
          <t>TOTAL USES</t>
        </is>
      </c>
      <c r="B21" s="32">
        <f>B13+B14+B15</f>
        <v/>
      </c>
    </row>
    <row r="22"/>
    <row r="23">
      <c r="A23" s="3" t="inlineStr">
        <is>
          <t>B. 5-YEAR CASH FLOW PROJECTIONS</t>
        </is>
      </c>
      <c r="B23" s="4" t="n"/>
      <c r="C23" s="4" t="n"/>
      <c r="D23" s="4" t="n"/>
      <c r="E23" s="4" t="n"/>
      <c r="F23" s="4" t="n"/>
      <c r="G23" s="5" t="n"/>
    </row>
    <row r="24">
      <c r="A24" s="26" t="inlineStr">
        <is>
          <t>Item</t>
        </is>
      </c>
      <c r="B24" s="26" t="inlineStr">
        <is>
          <t>Year 0</t>
        </is>
      </c>
      <c r="C24" s="26" t="inlineStr">
        <is>
          <t>Year 1</t>
        </is>
      </c>
      <c r="D24" s="26" t="inlineStr">
        <is>
          <t>Year 2</t>
        </is>
      </c>
      <c r="E24" s="26" t="inlineStr">
        <is>
          <t>Year 3</t>
        </is>
      </c>
      <c r="F24" s="26" t="inlineStr">
        <is>
          <t>Year 4</t>
        </is>
      </c>
      <c r="G24" s="26" t="inlineStr">
        <is>
          <t>Year 5</t>
        </is>
      </c>
    </row>
    <row r="25">
      <c r="A25" s="8" t="inlineStr">
        <is>
          <t>Revenue (OMR '000)</t>
        </is>
      </c>
      <c r="B25" s="14">
        <f>'Deal Input'!B13</f>
        <v/>
      </c>
      <c r="C25" s="14">
        <f>'Deal Input'!B13+('Deal Input'!B14-'Deal Input'!B13)*1/5</f>
        <v/>
      </c>
      <c r="D25" s="14">
        <f>'Deal Input'!B13+('Deal Input'!B14-'Deal Input'!B13)*2/5</f>
        <v/>
      </c>
      <c r="E25" s="14">
        <f>'Deal Input'!B13+('Deal Input'!B14-'Deal Input'!B13)*3/5</f>
        <v/>
      </c>
      <c r="F25" s="14">
        <f>'Deal Input'!B13+('Deal Input'!B14-'Deal Input'!B13)*4/5</f>
        <v/>
      </c>
      <c r="G25" s="14">
        <f>'Deal Input'!B13+('Deal Input'!B14-'Deal Input'!B13)*5/5</f>
        <v/>
      </c>
    </row>
    <row r="26">
      <c r="A26" s="8" t="inlineStr">
        <is>
          <t>EBITDA (OMR '000)</t>
        </is>
      </c>
      <c r="B26" s="14">
        <f>'Deal Input'!B69</f>
        <v/>
      </c>
      <c r="C26" s="14">
        <f>'Deal Input'!B15+('Deal Input'!B16-'Deal Input'!B15)*1/5+'Deal Input'!B36*1/5</f>
        <v/>
      </c>
      <c r="D26" s="14">
        <f>'Deal Input'!B15+('Deal Input'!B16-'Deal Input'!B15)*2/5+'Deal Input'!B36*2/5</f>
        <v/>
      </c>
      <c r="E26" s="14">
        <f>'Deal Input'!B15+('Deal Input'!B16-'Deal Input'!B15)*3/5+'Deal Input'!B36*3/5</f>
        <v/>
      </c>
      <c r="F26" s="14">
        <f>'Deal Input'!B15+('Deal Input'!B16-'Deal Input'!B15)*4/5+'Deal Input'!B36*4/5</f>
        <v/>
      </c>
      <c r="G26" s="14">
        <f>'Deal Input'!B15+('Deal Input'!B16-'Deal Input'!B15)*5/5+'Deal Input'!B36*5/5</f>
        <v/>
      </c>
    </row>
    <row r="27">
      <c r="A27" s="8" t="inlineStr">
        <is>
          <t>Debt Service (OMR '000)</t>
        </is>
      </c>
      <c r="B27" s="14">
        <f>'Deal Input'!B71</f>
        <v/>
      </c>
      <c r="C27" s="14">
        <f>B22</f>
        <v/>
      </c>
      <c r="D27" s="14">
        <f>B22</f>
        <v/>
      </c>
      <c r="E27" s="14">
        <f>B22</f>
        <v/>
      </c>
      <c r="F27" s="14">
        <f>B22</f>
        <v/>
      </c>
      <c r="G27" s="14">
        <f>B22</f>
        <v/>
      </c>
    </row>
    <row r="28">
      <c r="A28" s="7" t="inlineStr">
        <is>
          <t>Free Cash Flow (OMR '000)</t>
        </is>
      </c>
      <c r="B28" s="32">
        <f>B21-B22</f>
        <v/>
      </c>
      <c r="C28" s="32">
        <f>C21-C22</f>
        <v/>
      </c>
      <c r="D28" s="32">
        <f>D21-D22</f>
        <v/>
      </c>
      <c r="E28" s="32">
        <f>E21-E22</f>
        <v/>
      </c>
      <c r="F28" s="32">
        <f>F21-F22</f>
        <v/>
      </c>
      <c r="G28" s="32">
        <f>G21-G22</f>
        <v/>
      </c>
    </row>
    <row r="29"/>
    <row r="30">
      <c r="A30" s="3" t="inlineStr">
        <is>
          <t>C. EXIT VALUATION</t>
        </is>
      </c>
      <c r="B30" s="4" t="n"/>
      <c r="C30" s="4" t="n"/>
      <c r="D30" s="4" t="n"/>
      <c r="E30" s="4" t="n"/>
      <c r="F30" s="4" t="n"/>
      <c r="G30" s="5" t="n"/>
    </row>
    <row r="31">
      <c r="A31" s="8" t="inlineStr">
        <is>
          <t>Exit EBITDA (Year 5)</t>
        </is>
      </c>
      <c r="B31" s="14">
        <f>G21</f>
        <v/>
      </c>
    </row>
    <row r="32">
      <c r="A32" s="8" t="inlineStr">
        <is>
          <t>Exit EV/EBITDA Multiple</t>
        </is>
      </c>
      <c r="B32" s="33" t="n">
        <v>5</v>
      </c>
      <c r="C32" s="12" t="inlineStr">
        <is>
          <t>Default 5.0x for private firms</t>
        </is>
      </c>
    </row>
    <row r="33">
      <c r="A33" s="7" t="inlineStr">
        <is>
          <t>Enterprise Value at Exit (OMR '000)</t>
        </is>
      </c>
      <c r="B33" s="32">
        <f>B26*B27</f>
        <v/>
      </c>
    </row>
    <row r="34">
      <c r="A34" s="7" t="inlineStr">
        <is>
          <t>Equity Value at Exit (OMR '000)</t>
        </is>
      </c>
      <c r="B34" s="32">
        <f>MAX(0,B28-'Deal Input'!B12)</f>
        <v/>
      </c>
    </row>
    <row r="35"/>
    <row r="36">
      <c r="A36" s="3" t="inlineStr">
        <is>
          <t>D. 4-TIER IRR FRAMEWORK</t>
        </is>
      </c>
      <c r="B36" s="4" t="n"/>
      <c r="C36" s="4" t="n"/>
      <c r="D36" s="4" t="n"/>
      <c r="E36" s="4" t="n"/>
      <c r="F36" s="4" t="n"/>
      <c r="G36" s="5" t="n"/>
    </row>
    <row r="37"/>
    <row r="38">
      <c r="A38" s="9" t="inlineStr">
        <is>
          <t>IRR Cash Flow Array:</t>
        </is>
      </c>
      <c r="B38" s="34">
        <f>-B13</f>
        <v/>
      </c>
      <c r="C38" s="34">
        <f>C23</f>
        <v/>
      </c>
      <c r="D38" s="34">
        <f>D23</f>
        <v/>
      </c>
      <c r="E38" s="34">
        <f>E23</f>
        <v/>
      </c>
      <c r="F38" s="34">
        <f>F23</f>
        <v/>
      </c>
      <c r="G38" s="34">
        <f>G23+B29</f>
        <v/>
      </c>
    </row>
    <row r="39">
      <c r="A39" s="19" t="inlineStr">
        <is>
          <t>Whole-Fund Blended IRR</t>
        </is>
      </c>
      <c r="B39" s="21">
        <f>IFERROR(IRR(B33:G33,0.1),0)</f>
        <v/>
      </c>
    </row>
    <row r="40">
      <c r="A40" s="8" t="inlineStr">
        <is>
          <t>LP Net IRR</t>
        </is>
      </c>
      <c r="B40" s="18">
        <f>IFERROR(B34-0.02,0)</f>
        <v/>
      </c>
    </row>
    <row r="41">
      <c r="A41" s="8" t="inlineStr">
        <is>
          <t>Fund Gross IRR</t>
        </is>
      </c>
      <c r="B41" s="18">
        <f>B34</f>
        <v/>
      </c>
    </row>
    <row r="42">
      <c r="A42" s="8" t="inlineStr">
        <is>
          <t>ALiF Incremental IRR</t>
        </is>
      </c>
      <c r="B42" s="18">
        <f>IFERROR(B34+0.02,0)</f>
        <v/>
      </c>
    </row>
    <row r="43"/>
    <row r="44">
      <c r="A44" s="3" t="inlineStr">
        <is>
          <t>E. ALiF PRIVATE EQUITY INCOME (7-Year Cycle)</t>
        </is>
      </c>
      <c r="B44" s="4" t="n"/>
      <c r="C44" s="4" t="n"/>
      <c r="D44" s="4" t="n"/>
      <c r="E44" s="4" t="n"/>
      <c r="F44" s="4" t="n"/>
      <c r="G44" s="5" t="n"/>
    </row>
    <row r="45">
      <c r="A45" s="8" t="inlineStr">
        <is>
          <t>Arrangement Fee (GP)</t>
        </is>
      </c>
      <c r="B45" s="14" t="n">
        <v>250</v>
      </c>
    </row>
    <row r="46">
      <c r="A46" s="8" t="inlineStr">
        <is>
          <t>Management Fees (2% p.a. × 7 years)</t>
        </is>
      </c>
      <c r="B46" s="14">
        <f>B7*0.02*7</f>
        <v/>
      </c>
    </row>
    <row r="47">
      <c r="A47" s="8" t="inlineStr">
        <is>
          <t>Carried Interest (20% above 8% hurdle)</t>
        </is>
      </c>
      <c r="B47" s="14">
        <f>IF(B34&gt;0.08, MAX(0, (B29-B7-B7*0.08*5)*0.20), 0)</f>
        <v/>
      </c>
    </row>
    <row r="48"/>
    <row r="49">
      <c r="A49" s="19" t="inlineStr">
        <is>
          <t>TOTAL ALiF INCOME (OMR '000)</t>
        </is>
      </c>
      <c r="B49" s="35">
        <f>SUM(B40:B42)</f>
        <v/>
      </c>
    </row>
  </sheetData>
  <mergeCells count="9">
    <mergeCell ref="A12:E12"/>
    <mergeCell ref="A1:G1"/>
    <mergeCell ref="A18:G18"/>
    <mergeCell ref="A6:D6"/>
    <mergeCell ref="A31:G31"/>
    <mergeCell ref="A39:G39"/>
    <mergeCell ref="A4:G4"/>
    <mergeCell ref="A2:G2"/>
    <mergeCell ref="A25:G25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FFC000"/>
    <outlinePr summaryBelow="1" summaryRight="1"/>
    <pageSetUpPr/>
  </sheetPr>
  <dimension ref="A1:H21"/>
  <sheetViews>
    <sheetView workbookViewId="0">
      <selection activeCell="A1" sqref="A1"/>
    </sheetView>
  </sheetViews>
  <sheetFormatPr baseColWidth="8" defaultRowHeight="15"/>
  <cols>
    <col width="30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</cols>
  <sheetData>
    <row r="1" ht="35" customHeight="1">
      <c r="A1" s="1" t="inlineStr">
        <is>
          <t>STRESS TESTING MATRIX — 6 SCENARIOS (PRIVATE COMPANIES)</t>
        </is>
      </c>
    </row>
    <row r="2">
      <c r="A2" s="10" t="inlineStr">
        <is>
          <t>ALiF Private Equity — RVS v4.0</t>
        </is>
      </c>
    </row>
    <row r="4">
      <c r="A4" s="3" t="inlineStr">
        <is>
          <t>6-SCENARIO STRESS TESTING</t>
        </is>
      </c>
      <c r="B4" s="4" t="n"/>
      <c r="C4" s="4" t="n"/>
      <c r="D4" s="4" t="n"/>
      <c r="E4" s="4" t="n"/>
      <c r="F4" s="4" t="n"/>
      <c r="G4" s="4" t="n"/>
      <c r="H4" s="5" t="n"/>
    </row>
    <row r="5">
      <c r="A5" s="26" t="inlineStr">
        <is>
          <t>Scenario</t>
        </is>
      </c>
      <c r="B5" s="26" t="inlineStr">
        <is>
          <t>EBITDA</t>
        </is>
      </c>
      <c r="C5" s="26" t="inlineStr">
        <is>
          <t>Revenue</t>
        </is>
      </c>
      <c r="D5" s="26" t="inlineStr">
        <is>
          <t>Rate</t>
        </is>
      </c>
      <c r="E5" s="26" t="inlineStr">
        <is>
          <t>Governance</t>
        </is>
      </c>
      <c r="F5" s="26" t="inlineStr">
        <is>
          <t>Key-Person</t>
        </is>
      </c>
      <c r="G5" s="26" t="inlineStr">
        <is>
          <t>Description</t>
        </is>
      </c>
    </row>
    <row r="6">
      <c r="A6" s="7" t="inlineStr">
        <is>
          <t>S1: Working Capital Crisis</t>
        </is>
      </c>
      <c r="B6" s="36" t="inlineStr">
        <is>
          <t>-20%</t>
        </is>
      </c>
      <c r="C6" s="36" t="inlineStr">
        <is>
          <t>-15%</t>
        </is>
      </c>
      <c r="D6" s="36" t="inlineStr">
        <is>
          <t>+0bps</t>
        </is>
      </c>
      <c r="E6" s="36" t="inlineStr">
        <is>
          <t>0</t>
        </is>
      </c>
      <c r="F6" s="36" t="inlineStr">
        <is>
          <t>0</t>
        </is>
      </c>
      <c r="G6" s="8" t="inlineStr">
        <is>
          <t>Liquidity squeeze</t>
        </is>
      </c>
    </row>
    <row r="7">
      <c r="A7" s="7" t="inlineStr">
        <is>
          <t>S2: Margin Compression</t>
        </is>
      </c>
      <c r="B7" s="36" t="inlineStr">
        <is>
          <t>-35%</t>
        </is>
      </c>
      <c r="C7" s="36" t="inlineStr">
        <is>
          <t>-10%</t>
        </is>
      </c>
      <c r="D7" s="36" t="inlineStr">
        <is>
          <t>+0bps</t>
        </is>
      </c>
      <c r="E7" s="36" t="inlineStr">
        <is>
          <t>0</t>
        </is>
      </c>
      <c r="F7" s="36" t="inlineStr">
        <is>
          <t>0</t>
        </is>
      </c>
      <c r="G7" s="8" t="inlineStr">
        <is>
          <t>Input cost surge</t>
        </is>
      </c>
    </row>
    <row r="8">
      <c r="A8" s="7" t="inlineStr">
        <is>
          <t>S3: Refinancing Crisis</t>
        </is>
      </c>
      <c r="B8" s="36" t="inlineStr">
        <is>
          <t>-10%</t>
        </is>
      </c>
      <c r="C8" s="36" t="inlineStr">
        <is>
          <t>-5%</t>
        </is>
      </c>
      <c r="D8" s="36" t="inlineStr">
        <is>
          <t>+200bps</t>
        </is>
      </c>
      <c r="E8" s="36" t="inlineStr">
        <is>
          <t>0</t>
        </is>
      </c>
      <c r="F8" s="36" t="inlineStr">
        <is>
          <t>0</t>
        </is>
      </c>
      <c r="G8" s="8" t="inlineStr">
        <is>
          <t>Rate shock</t>
        </is>
      </c>
    </row>
    <row r="9">
      <c r="A9" s="7" t="inlineStr">
        <is>
          <t>S4: Perfect Storm</t>
        </is>
      </c>
      <c r="B9" s="36" t="inlineStr">
        <is>
          <t>-50%</t>
        </is>
      </c>
      <c r="C9" s="36" t="inlineStr">
        <is>
          <t>-30%</t>
        </is>
      </c>
      <c r="D9" s="36" t="inlineStr">
        <is>
          <t>+300bps</t>
        </is>
      </c>
      <c r="E9" s="36" t="inlineStr">
        <is>
          <t>0</t>
        </is>
      </c>
      <c r="F9" s="36" t="inlineStr">
        <is>
          <t>0</t>
        </is>
      </c>
      <c r="G9" s="8" t="inlineStr">
        <is>
          <t>Combined worst-case</t>
        </is>
      </c>
    </row>
    <row r="10">
      <c r="A10" s="7" t="inlineStr">
        <is>
          <t>S5: Key-Person Loss</t>
        </is>
      </c>
      <c r="B10" s="36" t="inlineStr">
        <is>
          <t>-25%</t>
        </is>
      </c>
      <c r="C10" s="36" t="inlineStr">
        <is>
          <t>-20%</t>
        </is>
      </c>
      <c r="D10" s="36" t="inlineStr">
        <is>
          <t>+0bps</t>
        </is>
      </c>
      <c r="E10" s="36" t="inlineStr">
        <is>
          <t>-0.10</t>
        </is>
      </c>
      <c r="F10" s="36" t="inlineStr">
        <is>
          <t>1</t>
        </is>
      </c>
      <c r="G10" s="8" t="inlineStr">
        <is>
          <t>Founder departure</t>
        </is>
      </c>
    </row>
    <row r="11">
      <c r="A11" s="7" t="inlineStr">
        <is>
          <t>S6: Governance Collapse</t>
        </is>
      </c>
      <c r="B11" s="36" t="inlineStr">
        <is>
          <t>-30%</t>
        </is>
      </c>
      <c r="C11" s="36" t="inlineStr">
        <is>
          <t>-15%</t>
        </is>
      </c>
      <c r="D11" s="36" t="inlineStr">
        <is>
          <t>+100bps</t>
        </is>
      </c>
      <c r="E11" s="36" t="inlineStr">
        <is>
          <t>-0.15</t>
        </is>
      </c>
      <c r="F11" s="36" t="inlineStr">
        <is>
          <t>0</t>
        </is>
      </c>
      <c r="G11" s="8" t="inlineStr">
        <is>
          <t>Board/control failure</t>
        </is>
      </c>
    </row>
    <row r="13">
      <c r="A13" s="3" t="inlineStr">
        <is>
          <t>STRESS TEST RESULTS</t>
        </is>
      </c>
      <c r="B13" s="4" t="n"/>
      <c r="C13" s="4" t="n"/>
      <c r="D13" s="4" t="n"/>
      <c r="E13" s="4" t="n"/>
      <c r="F13" s="4" t="n"/>
      <c r="G13" s="4" t="n"/>
      <c r="H13" s="5" t="n"/>
    </row>
    <row r="14">
      <c r="A14" s="26" t="inlineStr">
        <is>
          <t>Metric</t>
        </is>
      </c>
      <c r="B14" s="26" t="inlineStr">
        <is>
          <t>S1</t>
        </is>
      </c>
      <c r="C14" s="26" t="inlineStr">
        <is>
          <t>S2</t>
        </is>
      </c>
      <c r="D14" s="26" t="inlineStr">
        <is>
          <t>S3</t>
        </is>
      </c>
      <c r="E14" s="26" t="inlineStr">
        <is>
          <t>S4</t>
        </is>
      </c>
      <c r="F14" s="26" t="inlineStr">
        <is>
          <t>S5</t>
        </is>
      </c>
      <c r="G14" s="26" t="inlineStr">
        <is>
          <t>S6</t>
        </is>
      </c>
      <c r="H14" s="26" t="inlineStr">
        <is>
          <t>Base</t>
        </is>
      </c>
    </row>
    <row r="15">
      <c r="A15" s="8" t="inlineStr">
        <is>
          <t>Stressed EBITDA Year 5</t>
        </is>
      </c>
      <c r="B15" s="14">
        <f>'Deal Input'!B16*0.8</f>
        <v/>
      </c>
      <c r="C15" s="14">
        <f>'Deal Input'!B16*0.65</f>
        <v/>
      </c>
      <c r="D15" s="14">
        <f>'Deal Input'!B16*0.9</f>
        <v/>
      </c>
      <c r="E15" s="14">
        <f>'Deal Input'!B16*0.5</f>
        <v/>
      </c>
      <c r="F15" s="14">
        <f>'Deal Input'!B16*0.75</f>
        <v/>
      </c>
      <c r="G15" s="14">
        <f>'Deal Input'!B16*0.7</f>
        <v/>
      </c>
      <c r="H15" s="14">
        <f>'Deal Input'!B16</f>
        <v/>
      </c>
    </row>
    <row r="16">
      <c r="A16" s="7" t="inlineStr">
        <is>
          <t>Stressed Composite V4</t>
        </is>
      </c>
      <c r="B16" s="18">
        <f>0.50*(1/(1+EXP(-(2.1234+0.2801*Scorecard!B6+1.6543*Scorecard!B7+0.6892*B15/'Deal Input'!B13+0.8134*IF(B15&gt;0,1/(B15/'Deal Input'!B12),0)+0.9456*Scorecard!B10-1.7654*Scorecard!B11))))+0.30*Scorecard!B33</f>
        <v/>
      </c>
      <c r="C16" s="18">
        <f>0.50*(1/(1+EXP(-(2.1234+0.2801*Scorecard!B6+1.6543*Scorecard!B7+0.6892*C15/'Deal Input'!B13+0.8134*IF(C15&gt;0,1/(C15/'Deal Input'!B12),0)+0.9456*Scorecard!B10-1.7654*Scorecard!B11))))+0.30*Scorecard!B33</f>
        <v/>
      </c>
      <c r="D16" s="18">
        <f>0.50*(1/(1+EXP(-(2.1234+0.2801*Scorecard!B6+1.6543*Scorecard!B7+0.6892*D15/'Deal Input'!B13+0.8134*IF(D15&gt;0,1/(D15/'Deal Input'!B12),0)+0.9456*Scorecard!B10-1.7654*Scorecard!B11))))+0.30*Scorecard!B33</f>
        <v/>
      </c>
      <c r="E16" s="18">
        <f>0.50*(1/(1+EXP(-(2.1234+0.2801*Scorecard!B6+1.6543*Scorecard!B7+0.6892*E15/'Deal Input'!B13+0.8134*IF(E15&gt;0,1/(E15/'Deal Input'!B12),0)+0.9456*Scorecard!B10-1.7654*Scorecard!B11))))+0.30*Scorecard!B33</f>
        <v/>
      </c>
      <c r="F16" s="18">
        <f>0.50*(1/(1+EXP(-(2.1234+0.2801*Scorecard!B6+1.6543*Scorecard!B7+0.6892*F15/'Deal Input'!B13+0.8134*IF(F15&gt;0,1/(F15/'Deal Input'!B12),0)+0.9456*Scorecard!B10-1.7654*Scorecard!B11))))+0.30*Scorecard!B33</f>
        <v/>
      </c>
      <c r="G16" s="18">
        <f>0.50*(1/(1+EXP(-(2.1234+0.2801*Scorecard!B6+1.6543*Scorecard!B7+0.6892*G15/'Deal Input'!B13+0.8134*IF(G15&gt;0,1/(G15/'Deal Input'!B12),0)+0.9456*Scorecard!B10-1.7654*Scorecard!B11))))+0.30*Scorecard!B33</f>
        <v/>
      </c>
      <c r="H16" s="18">
        <f>Scorecard!B42</f>
        <v/>
      </c>
    </row>
    <row r="17">
      <c r="A17" s="7" t="inlineStr">
        <is>
          <t>Stressed Blended IRR</t>
        </is>
      </c>
      <c r="B17" s="18">
        <f>IFERROR('Fund Model'!B34*0.8*1.2,0)</f>
        <v/>
      </c>
      <c r="C17" s="18">
        <f>IFERROR('Fund Model'!B34*0.65*1.2,0)</f>
        <v/>
      </c>
      <c r="D17" s="18">
        <f>IFERROR('Fund Model'!B34*0.9*1.2,0)</f>
        <v/>
      </c>
      <c r="E17" s="18">
        <f>IFERROR('Fund Model'!B34*0.5*1.2,0)</f>
        <v/>
      </c>
      <c r="F17" s="18">
        <f>IFERROR('Fund Model'!B34*0.75*1.2,0)</f>
        <v/>
      </c>
      <c r="G17" s="18">
        <f>IFERROR('Fund Model'!B34*0.7*1.2,0)</f>
        <v/>
      </c>
      <c r="H17" s="18">
        <f>'Fund Model'!B34</f>
        <v/>
      </c>
    </row>
    <row r="18">
      <c r="A18" s="7" t="inlineStr">
        <is>
          <t>VERDICT</t>
        </is>
      </c>
      <c r="B18" s="37">
        <f>IF(B16&gt;=0.70,"GO",IF(B16&gt;=0.50,"CONDITIONAL","NO-GO"))</f>
        <v/>
      </c>
      <c r="C18" s="37">
        <f>IF(C16&gt;=0.70,"GO",IF(C16&gt;=0.50,"CONDITIONAL","NO-GO"))</f>
        <v/>
      </c>
      <c r="D18" s="37">
        <f>IF(D16&gt;=0.70,"GO",IF(D16&gt;=0.50,"CONDITIONAL","NO-GO"))</f>
        <v/>
      </c>
      <c r="E18" s="37">
        <f>IF(E16&gt;=0.70,"GO",IF(E16&gt;=0.50,"CONDITIONAL","NO-GO"))</f>
        <v/>
      </c>
      <c r="F18" s="37">
        <f>IF(F16&gt;=0.70,"GO",IF(F16&gt;=0.50,"CONDITIONAL","NO-GO"))</f>
        <v/>
      </c>
      <c r="G18" s="37">
        <f>IF(G16&gt;=0.70,"GO",IF(G16&gt;=0.50,"CONDITIONAL","NO-GO"))</f>
        <v/>
      </c>
      <c r="H18" s="37">
        <f>IF(H16&gt;=0.70,"GO",IF(H16&gt;=0.50,"CONDITIONAL","NO-GO"))</f>
        <v/>
      </c>
    </row>
    <row r="20">
      <c r="A20" s="8" t="inlineStr">
        <is>
          <t>Scenarios Passed (GO)</t>
        </is>
      </c>
      <c r="B20" s="37">
        <f>COUNTIF(B18:G18,"GO")</f>
        <v/>
      </c>
      <c r="C20" s="12" t="inlineStr">
        <is>
          <t>out of 6</t>
        </is>
      </c>
    </row>
    <row r="21">
      <c r="A21" s="19" t="inlineStr">
        <is>
          <t>Overall Stress Resilience</t>
        </is>
      </c>
      <c r="B21" s="38">
        <f>IF(B20&gt;=5,"HIGHLY RESILIENT",IF(B20&gt;=4,"RESILIENT",IF(B20&gt;=2,"MODERATE RISK","HIGH RISK")))</f>
        <v/>
      </c>
    </row>
  </sheetData>
  <mergeCells count="4">
    <mergeCell ref="A4:H4"/>
    <mergeCell ref="A13:H13"/>
    <mergeCell ref="A2:H2"/>
    <mergeCell ref="A1:H1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002060"/>
    <outlinePr summaryBelow="1" summaryRight="1"/>
    <pageSetUpPr/>
  </sheetPr>
  <dimension ref="A1:B43"/>
  <sheetViews>
    <sheetView workbookViewId="0">
      <selection activeCell="A1" sqref="A1"/>
    </sheetView>
  </sheetViews>
  <sheetFormatPr baseColWidth="8" defaultRowHeight="15"/>
  <cols>
    <col width="40" customWidth="1" min="1" max="1"/>
    <col width="25" customWidth="1" min="2" max="2"/>
  </cols>
  <sheetData>
    <row r="1" ht="40" customHeight="1">
      <c r="A1" s="1" t="inlineStr">
        <is>
          <t>EXECUTIVE SUMMARY — SRFF-I DEAL ANALYSIS v4.0</t>
        </is>
      </c>
    </row>
    <row r="2">
      <c r="A2" s="10" t="inlineStr">
        <is>
          <t>ALiF Private Equity — RVS v4.0 (Private Companies)</t>
        </is>
      </c>
    </row>
    <row r="4">
      <c r="A4" s="3" t="inlineStr">
        <is>
          <t>DEAL OVERVIEW</t>
        </is>
      </c>
      <c r="B4" s="5" t="n"/>
    </row>
    <row r="5">
      <c r="A5" s="8" t="inlineStr">
        <is>
          <t>Company Name</t>
        </is>
      </c>
      <c r="B5" s="37">
        <f>'Deal Input'!B5</f>
        <v/>
      </c>
    </row>
    <row r="6">
      <c r="A6" s="8" t="inlineStr">
        <is>
          <t>Sector</t>
        </is>
      </c>
      <c r="B6" s="23">
        <f>'Deal Input'!B6</f>
        <v/>
      </c>
    </row>
    <row r="7">
      <c r="A7" s="8" t="inlineStr">
        <is>
          <t>Total Debt (OMR '000)</t>
        </is>
      </c>
      <c r="B7" s="14">
        <f>'Deal Input'!B12</f>
        <v/>
      </c>
    </row>
    <row r="9">
      <c r="A9" s="3" t="inlineStr">
        <is>
          <t>RVS v4.0 RESULTS</t>
        </is>
      </c>
      <c r="B9" s="5" t="n"/>
    </row>
    <row r="10">
      <c r="A10" s="8" t="inlineStr">
        <is>
          <t>P(Recovery)</t>
        </is>
      </c>
      <c r="B10" s="18">
        <f>Scorecard!B16</f>
        <v/>
      </c>
    </row>
    <row r="11">
      <c r="A11" s="8" t="inlineStr">
        <is>
          <t>5-Year Survival S(5)</t>
        </is>
      </c>
      <c r="B11" s="18">
        <f>Scorecard!B33</f>
        <v/>
      </c>
    </row>
    <row r="12">
      <c r="A12" s="19" t="inlineStr">
        <is>
          <t>Composite V4 Score</t>
        </is>
      </c>
      <c r="B12" s="21">
        <f>Scorecard!B42</f>
        <v/>
      </c>
    </row>
    <row r="13" ht="40" customHeight="1">
      <c r="A13" s="28" t="inlineStr">
        <is>
          <t>VERDICT</t>
        </is>
      </c>
      <c r="B13" s="29">
        <f>Scorecard!B44</f>
        <v/>
      </c>
    </row>
    <row r="15">
      <c r="A15" s="3" t="inlineStr">
        <is>
          <t>SHARIAH COMPLIANCE</t>
        </is>
      </c>
      <c r="B15" s="5" t="n"/>
    </row>
    <row r="16">
      <c r="A16" s="19" t="inlineStr">
        <is>
          <t>Shariah Verdict</t>
        </is>
      </c>
      <c r="B16" s="39">
        <f>'Shariah Screening'!B19</f>
        <v/>
      </c>
    </row>
    <row r="18">
      <c r="A18" s="3" t="inlineStr">
        <is>
          <t>CREDIT RISK METRICS</t>
        </is>
      </c>
      <c r="B18" s="5" t="n"/>
    </row>
    <row r="19">
      <c r="A19" s="8" t="inlineStr">
        <is>
          <t>Probability of Default (PD)</t>
        </is>
      </c>
      <c r="B19" s="18">
        <f>'Credit Risk'!B7</f>
        <v/>
      </c>
    </row>
    <row r="20">
      <c r="A20" s="8" t="inlineStr">
        <is>
          <t>Loss Given Default (LGD)</t>
        </is>
      </c>
      <c r="B20" s="18">
        <f>'Credit Risk'!B14</f>
        <v/>
      </c>
    </row>
    <row r="21">
      <c r="A21" s="7" t="inlineStr">
        <is>
          <t>Recommended Haircut %</t>
        </is>
      </c>
      <c r="B21" s="40">
        <f>'Credit Risk'!B18</f>
        <v/>
      </c>
    </row>
    <row r="22">
      <c r="A22" s="8" t="inlineStr">
        <is>
          <t>Day-1 Gain (OMR '000)</t>
        </is>
      </c>
      <c r="B22" s="14">
        <f>'Credit Risk'!B20</f>
        <v/>
      </c>
    </row>
    <row r="24">
      <c r="A24" s="3" t="inlineStr">
        <is>
          <t>DAMODARAN WACC ANALYSIS</t>
        </is>
      </c>
      <c r="B24" s="5" t="n"/>
    </row>
    <row r="25">
      <c r="A25" s="8" t="inlineStr">
        <is>
          <t>Cost of Equity (Adjusted)</t>
        </is>
      </c>
      <c r="B25" s="18">
        <f>'Damodaran Adjustments'!B26</f>
        <v/>
      </c>
    </row>
    <row r="26">
      <c r="A26" s="8" t="inlineStr">
        <is>
          <t>Synthetic Credit Rating</t>
        </is>
      </c>
      <c r="B26" s="23">
        <f>'Damodaran Adjustments'!B30</f>
        <v/>
      </c>
    </row>
    <row r="27">
      <c r="A27" s="7" t="inlineStr">
        <is>
          <t>WACC</t>
        </is>
      </c>
      <c r="B27" s="40">
        <f>'Damodaran Adjustments'!B40</f>
        <v/>
      </c>
    </row>
    <row r="29">
      <c r="A29" s="3" t="inlineStr">
        <is>
          <t>IRR PROJECTIONS (4-TIER)</t>
        </is>
      </c>
      <c r="B29" s="5" t="n"/>
    </row>
    <row r="30">
      <c r="A30" s="7" t="inlineStr">
        <is>
          <t>Whole-Fund Blended IRR</t>
        </is>
      </c>
      <c r="B30" s="40">
        <f>'Fund Model'!B34</f>
        <v/>
      </c>
    </row>
    <row r="31">
      <c r="A31" s="8" t="inlineStr">
        <is>
          <t>LP Net IRR</t>
        </is>
      </c>
      <c r="B31" s="18">
        <f>'Fund Model'!B35</f>
        <v/>
      </c>
    </row>
    <row r="33">
      <c r="A33" s="3" t="inlineStr">
        <is>
          <t>STRESS TEST RESILIENCE</t>
        </is>
      </c>
      <c r="B33" s="5" t="n"/>
    </row>
    <row r="34">
      <c r="A34" s="8" t="inlineStr">
        <is>
          <t>Scenarios Passed (GO)</t>
        </is>
      </c>
      <c r="B34" s="23">
        <f>'Stress Test'!B20</f>
        <v/>
      </c>
    </row>
    <row r="35">
      <c r="A35" s="7" t="inlineStr">
        <is>
          <t>Overall Stress Resilience</t>
        </is>
      </c>
      <c r="B35" s="37">
        <f>'Stress Test'!B21</f>
        <v/>
      </c>
    </row>
    <row r="37">
      <c r="A37" s="3" t="inlineStr">
        <is>
          <t>FINAL RECOMMENDATION</t>
        </is>
      </c>
      <c r="B37" s="5" t="n"/>
    </row>
    <row r="38" ht="40" customHeight="1">
      <c r="A38" s="41" t="inlineStr">
        <is>
          <t>GO/CONDITIONAL/NO-GO</t>
        </is>
      </c>
      <c r="B38" s="42">
        <f>IF(AND(Scorecard!B42&gt;=0.70,'Credit Risk'!B18&lt;0.30),"GO",IF(AND(Scorecard!B42&gt;=0.50,'Credit Risk'!B18&lt;0.40),"CONDITIONAL","NO-GO"))</f>
        <v/>
      </c>
    </row>
    <row r="40">
      <c r="A40" s="12" t="inlineStr">
        <is>
          <t>Decision Logic:</t>
        </is>
      </c>
    </row>
    <row r="41">
      <c r="A41" s="12" t="inlineStr">
        <is>
          <t>GO: V4 &gt;= 0.70 AND Haircut &lt; 30% AND Shariah Compliant</t>
        </is>
      </c>
    </row>
    <row r="42">
      <c r="A42" s="12" t="inlineStr">
        <is>
          <t>CONDITIONAL: V4 &gt;= 0.50 AND Haircut &lt; 40%</t>
        </is>
      </c>
    </row>
    <row r="43">
      <c r="A43" s="12" t="inlineStr">
        <is>
          <t>NO-GO: V4 &lt; 0.50 OR Haircut &gt;= 40%</t>
        </is>
      </c>
    </row>
  </sheetData>
  <mergeCells count="10">
    <mergeCell ref="A4:B4"/>
    <mergeCell ref="A24:B24"/>
    <mergeCell ref="A2:B2"/>
    <mergeCell ref="A15:B15"/>
    <mergeCell ref="A29:B29"/>
    <mergeCell ref="A33:B33"/>
    <mergeCell ref="A37:B37"/>
    <mergeCell ref="A1:B1"/>
    <mergeCell ref="A18:B18"/>
    <mergeCell ref="A9:B9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F16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30" customWidth="1" min="3" max="3"/>
    <col width="55" customWidth="1" min="4" max="4"/>
    <col width="65" customWidth="1" min="5" max="5"/>
    <col width="35" customWidth="1" min="6" max="6"/>
  </cols>
  <sheetData>
    <row r="1" ht="35" customHeight="1">
      <c r="A1" s="1" t="inlineStr">
        <is>
          <t>SRFF-I TOOLKIT — RVS v4.0 FORMULAS REFERENCE</t>
        </is>
      </c>
    </row>
    <row r="2">
      <c r="A2" s="10" t="inlineStr">
        <is>
          <t>Complete documentation of all RVS v4.0 formulas for private companies</t>
        </is>
      </c>
    </row>
    <row r="4">
      <c r="A4" s="26" t="inlineStr">
        <is>
          <t>Sheet</t>
        </is>
      </c>
      <c r="B4" s="26" t="inlineStr">
        <is>
          <t>Cell</t>
        </is>
      </c>
      <c r="C4" s="26" t="inlineStr">
        <is>
          <t>Metric Name</t>
        </is>
      </c>
      <c r="D4" s="26" t="inlineStr">
        <is>
          <t>Formula (English)</t>
        </is>
      </c>
      <c r="E4" s="26" t="inlineStr">
        <is>
          <t>Excel Formula</t>
        </is>
      </c>
      <c r="F4" s="26" t="inlineStr">
        <is>
          <t>Source Inputs</t>
        </is>
      </c>
    </row>
    <row r="5">
      <c r="A5" s="43" t="inlineStr">
        <is>
          <t>Damodaran</t>
        </is>
      </c>
      <c r="B5" s="44" t="inlineStr">
        <is>
          <t>B20</t>
        </is>
      </c>
      <c r="C5" s="43" t="inlineStr">
        <is>
          <t>Total Beta</t>
        </is>
      </c>
      <c r="D5" s="43" t="inlineStr">
        <is>
          <t>Relevered Beta × (1 + Size Premium)</t>
        </is>
      </c>
      <c r="E5" s="45">
        <f>B18*(1+B19)</f>
        <v/>
      </c>
      <c r="F5" s="46" t="inlineStr">
        <is>
          <t>B18, B19</t>
        </is>
      </c>
    </row>
    <row r="6">
      <c r="A6" s="47" t="inlineStr">
        <is>
          <t>Damodaran</t>
        </is>
      </c>
      <c r="B6" s="48" t="inlineStr">
        <is>
          <t>B26</t>
        </is>
      </c>
      <c r="C6" s="47" t="inlineStr">
        <is>
          <t>Cost of Equity</t>
        </is>
      </c>
      <c r="D6" s="47" t="inlineStr">
        <is>
          <t>Rf + Beta × MRP + Illiquidity + Key-Person</t>
        </is>
      </c>
      <c r="E6" s="49">
        <f>B23+B24+B25</f>
        <v/>
      </c>
      <c r="F6" s="50" t="inlineStr">
        <is>
          <t>B23, B24, B25</t>
        </is>
      </c>
    </row>
    <row r="7">
      <c r="A7" s="43" t="inlineStr">
        <is>
          <t>Damodaran</t>
        </is>
      </c>
      <c r="B7" s="44" t="inlineStr">
        <is>
          <t>B40</t>
        </is>
      </c>
      <c r="C7" s="43" t="inlineStr">
        <is>
          <t>WACC</t>
        </is>
      </c>
      <c r="D7" s="43" t="inlineStr">
        <is>
          <t>(E% × CoE) + (D% × CoD × (1-Tax))</t>
        </is>
      </c>
      <c r="E7" s="45">
        <f>B37*B26+B38*B31*(1-B16)</f>
        <v/>
      </c>
      <c r="F7" s="46" t="inlineStr">
        <is>
          <t>B37, B26, B38, B31, B16</t>
        </is>
      </c>
    </row>
    <row r="8">
      <c r="A8" s="47" t="inlineStr">
        <is>
          <t>Scorecard</t>
        </is>
      </c>
      <c r="B8" s="48" t="inlineStr">
        <is>
          <t>B15</t>
        </is>
      </c>
      <c r="C8" s="47" t="inlineStr">
        <is>
          <t>z (Linear Predictor)</t>
        </is>
      </c>
      <c r="D8" s="47" t="inlineStr">
        <is>
          <t>z = 2.1234 + 0.2801(V1) + ... (v4.0 coefficients)</t>
        </is>
      </c>
      <c r="E8" s="49">
        <f>2.1234+0.2801*B6+...</f>
        <v/>
      </c>
      <c r="F8" s="50" t="inlineStr">
        <is>
          <t>B6:B11</t>
        </is>
      </c>
    </row>
    <row r="9">
      <c r="A9" s="43" t="inlineStr">
        <is>
          <t>Scorecard</t>
        </is>
      </c>
      <c r="B9" s="44" t="inlineStr">
        <is>
          <t>B16</t>
        </is>
      </c>
      <c r="C9" s="43" t="inlineStr">
        <is>
          <t>P(Recovery)</t>
        </is>
      </c>
      <c r="D9" s="43" t="inlineStr">
        <is>
          <t>Sigmoid of z</t>
        </is>
      </c>
      <c r="E9" s="45">
        <f>1/(1+EXP(-B15))</f>
        <v/>
      </c>
      <c r="F9" s="46" t="inlineStr">
        <is>
          <t>B15</t>
        </is>
      </c>
    </row>
    <row r="10">
      <c r="A10" s="47" t="inlineStr">
        <is>
          <t>Scorecard</t>
        </is>
      </c>
      <c r="B10" s="48" t="inlineStr">
        <is>
          <t>B23</t>
        </is>
      </c>
      <c r="C10" s="47" t="inlineStr">
        <is>
          <t>w (Hazard Predictor)</t>
        </is>
      </c>
      <c r="D10" s="47" t="inlineStr">
        <is>
          <t>w = -1.8765 - 0.2456(V1) + ... × 1.20</t>
        </is>
      </c>
      <c r="E10" s="49">
        <f>-1.8765-0.2456*B6+... × 1.20</f>
        <v/>
      </c>
      <c r="F10" s="50" t="inlineStr">
        <is>
          <t>B6:B11, multiplier</t>
        </is>
      </c>
    </row>
    <row r="11">
      <c r="A11" s="43" t="inlineStr">
        <is>
          <t>Scorecard</t>
        </is>
      </c>
      <c r="B11" s="44" t="inlineStr">
        <is>
          <t>B42</t>
        </is>
      </c>
      <c r="C11" s="43" t="inlineStr">
        <is>
          <t>Composite V4</t>
        </is>
      </c>
      <c r="D11" s="43" t="inlineStr">
        <is>
          <t>0.50×P(Recovery) + 0.30×S(5) + 0.20×Gov</t>
        </is>
      </c>
      <c r="E11" s="45">
        <f>0.50*B37+0.30*B38+...</f>
        <v/>
      </c>
      <c r="F11" s="46" t="inlineStr">
        <is>
          <t>B37, B38, B40</t>
        </is>
      </c>
    </row>
    <row r="12">
      <c r="A12" s="47" t="inlineStr">
        <is>
          <t>Shariah</t>
        </is>
      </c>
      <c r="B12" s="48" t="inlineStr">
        <is>
          <t>B5</t>
        </is>
      </c>
      <c r="C12" s="47" t="inlineStr">
        <is>
          <t>Debt/Assets</t>
        </is>
      </c>
      <c r="D12" s="47" t="inlineStr">
        <is>
          <t>Total Debt / Total Assets</t>
        </is>
      </c>
      <c r="E12" s="49">
        <f>Deal_Input!B12/Deal_Input!B22</f>
        <v/>
      </c>
      <c r="F12" s="50" t="inlineStr">
        <is>
          <t>Deal Input B12, B22</t>
        </is>
      </c>
    </row>
    <row r="13">
      <c r="A13" s="43" t="inlineStr">
        <is>
          <t>Shariah</t>
        </is>
      </c>
      <c r="B13" s="44" t="inlineStr">
        <is>
          <t>B8</t>
        </is>
      </c>
      <c r="C13" s="43" t="inlineStr">
        <is>
          <t>Interest Income/Revenue</t>
        </is>
      </c>
      <c r="D13" s="43" t="inlineStr">
        <is>
          <t>Interest Expense / Revenue</t>
        </is>
      </c>
      <c r="E13" s="45">
        <f>Deal_Input!B18/Deal_Input!B13</f>
        <v/>
      </c>
      <c r="F13" s="46" t="inlineStr">
        <is>
          <t>Deal Input B18, B13</t>
        </is>
      </c>
    </row>
    <row r="14">
      <c r="A14" s="47" t="inlineStr">
        <is>
          <t>Credit Risk</t>
        </is>
      </c>
      <c r="B14" s="48" t="inlineStr">
        <is>
          <t>B7</t>
        </is>
      </c>
      <c r="C14" s="47" t="inlineStr">
        <is>
          <t>PD</t>
        </is>
      </c>
      <c r="D14" s="47" t="inlineStr">
        <is>
          <t>1 - Composite V4, bounded [2%, 95%]</t>
        </is>
      </c>
      <c r="E14" s="49">
        <f>MAX(0.02,MIN(0.95,1-Scorecard!B42))</f>
        <v/>
      </c>
      <c r="F14" s="50" t="inlineStr">
        <is>
          <t>Scorecard B42</t>
        </is>
      </c>
    </row>
    <row r="15">
      <c r="A15" s="43" t="inlineStr">
        <is>
          <t>Credit Risk</t>
        </is>
      </c>
      <c r="B15" s="44" t="inlineStr">
        <is>
          <t>B14</t>
        </is>
      </c>
      <c r="C15" s="43" t="inlineStr">
        <is>
          <t>LGD</t>
        </is>
      </c>
      <c r="D15" s="43" t="inlineStr">
        <is>
          <t>1 - Recovery Rate</t>
        </is>
      </c>
      <c r="E15" s="45">
        <f>MAX(0,MIN(1,1-B13))</f>
        <v/>
      </c>
      <c r="F15" s="46" t="inlineStr">
        <is>
          <t>B13</t>
        </is>
      </c>
    </row>
    <row r="16">
      <c r="A16" s="47" t="inlineStr">
        <is>
          <t>Credit Risk</t>
        </is>
      </c>
      <c r="B16" s="48" t="inlineStr">
        <is>
          <t>B18</t>
        </is>
      </c>
      <c r="C16" s="47" t="inlineStr">
        <is>
          <t>Haircut</t>
        </is>
      </c>
      <c r="D16" s="47" t="inlineStr">
        <is>
          <t>PD × LGD, capped 50%</t>
        </is>
      </c>
      <c r="E16" s="49">
        <f>MIN(0.50,B7*B14)</f>
        <v/>
      </c>
      <c r="F16" s="50" t="inlineStr">
        <is>
          <t>B7, B14</t>
        </is>
      </c>
    </row>
  </sheetData>
  <mergeCells count="2">
    <mergeCell ref="A2:F2"/>
    <mergeCell ref="A1: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2026-04-19T13:40:07Z</dcterms:created>
  <dcterms:modified xmlns:dcterms="http://purl.org/dc/terms/" xmlns:xsi="http://www.w3.org/2001/XMLSchema-instance" xsi:type="dcterms:W3CDTF">2026-04-24T16:32:56Z</dcterms:modified>
</cp:coreProperties>
</file>