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I LBO Model" sheetId="1" state="visible" r:id="rId1"/>
    <sheet xmlns:r="http://schemas.openxmlformats.org/officeDocument/2006/relationships" name="Deal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(#,##0.0);&quot;—&quot;"/>
    <numFmt numFmtId="165" formatCode="0.0%;(0.0%);&quot;—&quot;"/>
    <numFmt numFmtId="166" formatCode="0.0&quot;x&quot;;(0.0&quot;x&quot;);&quot;nm&quot;"/>
    <numFmt numFmtId="167" formatCode="#,##0;(#,##0);&quot;—&quot;"/>
  </numFmts>
  <fonts count="14">
    <font>
      <name val="Calibri"/>
      <family val="2"/>
      <color theme="1"/>
      <sz val="11"/>
      <scheme val="minor"/>
    </font>
    <font>
      <name val="Helvetica"/>
      <b val="1"/>
      <color rgb="00C9A843"/>
      <sz val="14"/>
    </font>
    <font>
      <name val="Helvetica"/>
      <color rgb="000F1D40"/>
      <sz val="11"/>
    </font>
    <font>
      <name val="Helvetica"/>
      <i val="1"/>
      <color rgb="00C9A843"/>
      <sz val="7"/>
    </font>
    <font>
      <name val="Helvetica"/>
      <b val="1"/>
      <color rgb="00FFFFFF"/>
      <sz val="9"/>
    </font>
    <font>
      <name val="Helvetica"/>
      <b val="1"/>
      <color rgb="00FFFFFF"/>
      <sz val="8"/>
    </font>
    <font>
      <name val="Helvetica"/>
      <b val="1"/>
      <color rgb="00C9A843"/>
      <sz val="8"/>
    </font>
    <font>
      <name val="Helvetica"/>
      <color rgb="000F1D40"/>
      <sz val="8"/>
    </font>
    <font>
      <name val="Helvetica"/>
      <color rgb="001F4E79"/>
      <sz val="8"/>
    </font>
    <font>
      <name val="Helvetica"/>
      <b val="1"/>
      <color rgb="000F1D40"/>
      <sz val="8"/>
    </font>
    <font>
      <name val="Helvetica"/>
      <b val="1"/>
      <color rgb="00CC0033"/>
      <sz val="8"/>
    </font>
    <font>
      <name val="Helvetica"/>
      <color rgb="002C3E6B"/>
      <sz val="7"/>
    </font>
    <font>
      <name val="Helvetica"/>
      <color rgb="008B1A2B"/>
      <sz val="8"/>
    </font>
    <font>
      <name val="Helvetica"/>
      <i val="1"/>
      <color rgb="002C3E6B"/>
      <sz val="7"/>
    </font>
  </fonts>
  <fills count="6">
    <fill>
      <patternFill/>
    </fill>
    <fill>
      <patternFill patternType="gray125"/>
    </fill>
    <fill>
      <patternFill patternType="solid">
        <fgColor rgb="00F5F2EC"/>
        <bgColor rgb="00F5F2EC"/>
      </patternFill>
    </fill>
    <fill>
      <patternFill patternType="solid">
        <fgColor rgb="000F1D40"/>
        <bgColor rgb="000F1D40"/>
      </patternFill>
    </fill>
    <fill>
      <patternFill patternType="solid">
        <fgColor rgb="00E8E4DF"/>
        <bgColor rgb="00E8E4DF"/>
      </patternFill>
    </fill>
    <fill>
      <patternFill patternType="solid">
        <fgColor rgb="002C3E6B"/>
        <bgColor rgb="002C3E6B"/>
      </patternFill>
    </fill>
  </fills>
  <borders count="2">
    <border>
      <left/>
      <right/>
      <top/>
      <bottom/>
      <diagonal/>
    </border>
    <border>
      <bottom style="thin">
        <color rgb="00E8E4D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164" fontId="1" fillId="2" borderId="1" pivotButton="0" quotePrefix="0" xfId="0"/>
    <xf numFmtId="164" fontId="2" fillId="2" borderId="1" pivotButton="0" quotePrefix="0" xfId="0"/>
    <xf numFmtId="164" fontId="3" fillId="2" borderId="1" pivotButton="0" quotePrefix="0" xfId="0"/>
    <xf numFmtId="164" fontId="4" fillId="3" borderId="1" pivotButton="0" quotePrefix="0" xfId="0"/>
    <xf numFmtId="0" fontId="0" fillId="3" borderId="1" pivotButton="0" quotePrefix="0" xfId="0"/>
    <xf numFmtId="164" fontId="5" fillId="3" borderId="1" pivotButton="0" quotePrefix="0" xfId="0"/>
    <xf numFmtId="164" fontId="6" fillId="2" borderId="1" pivotButton="0" quotePrefix="0" xfId="0"/>
    <xf numFmtId="164" fontId="7" fillId="2" borderId="1" pivotButton="0" quotePrefix="0" xfId="0"/>
    <xf numFmtId="164" fontId="8" fillId="4" borderId="1" pivotButton="0" quotePrefix="0" xfId="0"/>
    <xf numFmtId="166" fontId="8" fillId="4" borderId="1" pivotButton="0" quotePrefix="0" xfId="0"/>
    <xf numFmtId="164" fontId="11" fillId="2" borderId="1" pivotButton="0" quotePrefix="0" xfId="0"/>
    <xf numFmtId="165" fontId="8" fillId="4" borderId="1" pivotButton="0" quotePrefix="0" xfId="0"/>
    <xf numFmtId="164" fontId="7" fillId="4" borderId="1" pivotButton="0" quotePrefix="0" xfId="0"/>
    <xf numFmtId="164" fontId="9" fillId="2" borderId="1" pivotButton="0" quotePrefix="0" xfId="0"/>
    <xf numFmtId="164" fontId="10" fillId="4" borderId="1" pivotButton="0" quotePrefix="0" xfId="0"/>
    <xf numFmtId="166" fontId="10" fillId="4" borderId="1" pivotButton="0" quotePrefix="0" xfId="0"/>
    <xf numFmtId="167" fontId="8" fillId="4" borderId="1" pivotButton="0" quotePrefix="0" xfId="0"/>
    <xf numFmtId="165" fontId="7" fillId="4" borderId="1" pivotButton="0" quotePrefix="0" xfId="0"/>
    <xf numFmtId="164" fontId="5" fillId="5" borderId="1" pivotButton="0" quotePrefix="0" xfId="0"/>
    <xf numFmtId="0" fontId="0" fillId="5" borderId="1" pivotButton="0" quotePrefix="0" xfId="0"/>
    <xf numFmtId="165" fontId="10" fillId="4" borderId="1" pivotButton="0" quotePrefix="0" xfId="0"/>
    <xf numFmtId="164" fontId="10" fillId="2" borderId="1" pivotButton="0" quotePrefix="0" xfId="0"/>
    <xf numFmtId="164" fontId="8" fillId="2" borderId="1" pivotButton="0" quotePrefix="0" xfId="0"/>
    <xf numFmtId="165" fontId="7" fillId="2" borderId="1" pivotButton="0" quotePrefix="0" xfId="0"/>
    <xf numFmtId="165" fontId="8" fillId="2" borderId="1" pivotButton="0" quotePrefix="0" xfId="0"/>
    <xf numFmtId="164" fontId="9" fillId="4" borderId="1" pivotButton="0" quotePrefix="0" xfId="0"/>
    <xf numFmtId="166" fontId="9" fillId="4" borderId="1" pivotButton="0" quotePrefix="0" xfId="0"/>
    <xf numFmtId="166" fontId="7" fillId="4" borderId="1" pivotButton="0" quotePrefix="0" xfId="0"/>
    <xf numFmtId="167" fontId="7" fillId="4" borderId="1" pivotButton="0" quotePrefix="0" xfId="0"/>
    <xf numFmtId="165" fontId="9" fillId="4" borderId="1" pivotButton="0" quotePrefix="0" xfId="0"/>
    <xf numFmtId="166" fontId="9" fillId="2" borderId="1" pivotButton="0" quotePrefix="0" xfId="0"/>
    <xf numFmtId="164" fontId="12" fillId="2" borderId="1" pivotButton="0" quotePrefix="0" xfId="0"/>
    <xf numFmtId="164" fontId="1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D40"/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8" customWidth="1" min="3" max="3"/>
    <col width="14" customWidth="1" min="4" max="4"/>
    <col width="13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2" t="inlineStr">
        <is>
          <t>ALiF PRIVATE EQUITY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1" t="n"/>
      <c r="B3" s="3" t="inlineStr">
        <is>
          <t>NPI Rescue LBO Model — Loan-to-Own Structure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4" t="inlineStr">
        <is>
          <t>Powered by MURSHIDI Ai</t>
        </is>
      </c>
      <c r="O3" s="1" t="n"/>
      <c r="P3" s="4" t="inlineStr">
        <is>
          <t>Solving Patterns, Revealing Value</t>
        </is>
      </c>
      <c r="Q3" s="1" t="n"/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n"/>
      <c r="B5" s="5" t="inlineStr">
        <is>
          <t>SECTION 1 — BASE INPUTS &amp; DEAL CONTROLS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inlineStr">
        <is>
          <t>All values in OMR '000</t>
        </is>
      </c>
      <c r="O5" s="6" t="n"/>
      <c r="P5" s="6" t="n"/>
      <c r="Q5" s="6" t="n"/>
      <c r="R5" s="6" t="n"/>
      <c r="S5" s="6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n"/>
      <c r="B7" s="1" t="n"/>
      <c r="C7" s="8" t="inlineStr">
        <is>
          <t>ACQUISITION ASSUMPTIONS</t>
        </is>
      </c>
      <c r="D7" s="1" t="n"/>
      <c r="E7" s="1" t="n"/>
      <c r="F7" s="1" t="n"/>
      <c r="G7" s="1" t="n"/>
      <c r="H7" s="8" t="inlineStr">
        <is>
          <t>EXIT &amp; FINANCING</t>
        </is>
      </c>
      <c r="I7" s="1" t="n"/>
      <c r="J7" s="1" t="n"/>
      <c r="K7" s="1" t="n"/>
      <c r="L7" s="1" t="n"/>
      <c r="M7" s="1" t="n"/>
      <c r="N7" s="8" t="inlineStr">
        <is>
          <t>MURSHIDI AI — DEAL NOTES</t>
        </is>
      </c>
      <c r="O7" s="1" t="n"/>
      <c r="P7" s="1" t="n"/>
      <c r="Q7" s="1" t="n"/>
      <c r="R7" s="1" t="n"/>
      <c r="S7" s="1" t="n"/>
    </row>
    <row r="8">
      <c r="A8" s="1" t="n"/>
      <c r="B8" s="1" t="n"/>
      <c r="C8" s="9" t="inlineStr">
        <is>
          <t>Face value of bank debt</t>
        </is>
      </c>
      <c r="D8" s="1" t="n"/>
      <c r="E8" s="10" t="n">
        <v>20314.9</v>
      </c>
      <c r="F8" s="1" t="n"/>
      <c r="G8" s="1" t="n"/>
      <c r="H8" s="9" t="inlineStr">
        <is>
          <t>Exit EV/EBITDA multiple</t>
        </is>
      </c>
      <c r="I8" s="1" t="n"/>
      <c r="J8" s="1" t="n"/>
      <c r="K8" s="1" t="n"/>
      <c r="L8" s="11" t="n">
        <v>6</v>
      </c>
      <c r="M8" s="1" t="n"/>
      <c r="N8" s="12" t="inlineStr">
        <is>
          <t>1. Haircut negotiated at 45% — banks face 61.55% PD</t>
        </is>
      </c>
      <c r="O8" s="1" t="n"/>
      <c r="P8" s="1" t="n"/>
      <c r="Q8" s="1" t="n"/>
      <c r="R8" s="1" t="n"/>
      <c r="S8" s="1" t="n"/>
    </row>
    <row r="9">
      <c r="A9" s="1" t="n"/>
      <c r="B9" s="1" t="n"/>
      <c r="C9" s="9" t="inlineStr">
        <is>
          <t>Negotiated haircut</t>
        </is>
      </c>
      <c r="D9" s="1" t="n"/>
      <c r="E9" s="13" t="n">
        <v>0.45</v>
      </c>
      <c r="F9" s="1" t="n"/>
      <c r="G9" s="1" t="n"/>
      <c r="H9" s="9" t="inlineStr">
        <is>
          <t>Entry LTM EBITDA (2024)</t>
        </is>
      </c>
      <c r="I9" s="1" t="n"/>
      <c r="J9" s="1" t="n"/>
      <c r="K9" s="1" t="n"/>
      <c r="L9" s="14">
        <f>H43</f>
        <v/>
      </c>
      <c r="M9" s="1" t="n"/>
      <c r="N9" s="12" t="inlineStr">
        <is>
          <t>2. Liquidation recovery est. 30-40 cents; 55c is premium</t>
        </is>
      </c>
      <c r="O9" s="1" t="n"/>
      <c r="P9" s="1" t="n"/>
      <c r="Q9" s="1" t="n"/>
      <c r="R9" s="1" t="n"/>
      <c r="S9" s="1" t="n"/>
    </row>
    <row r="10">
      <c r="A10" s="1" t="n"/>
      <c r="B10" s="1" t="n"/>
      <c r="C10" s="15" t="inlineStr">
        <is>
          <t>Debt acquisition price</t>
        </is>
      </c>
      <c r="D10" s="1" t="n"/>
      <c r="E10" s="16">
        <f>E8*(1-E9)</f>
        <v/>
      </c>
      <c r="F10" s="1" t="n"/>
      <c r="G10" s="1" t="n"/>
      <c r="H10" s="15" t="inlineStr">
        <is>
          <t>Entry EV (= ALiF cash invest)</t>
        </is>
      </c>
      <c r="I10" s="1" t="n"/>
      <c r="J10" s="1" t="n"/>
      <c r="K10" s="1" t="n"/>
      <c r="L10" s="16">
        <f>E14</f>
        <v/>
      </c>
      <c r="M10" s="1" t="n"/>
      <c r="N10" s="12" t="inlineStr">
        <is>
          <t>3. Retained senior OMR 5M (not 7.5M) — faster deleverage</t>
        </is>
      </c>
      <c r="O10" s="1" t="n"/>
      <c r="P10" s="1" t="n"/>
      <c r="Q10" s="1" t="n"/>
      <c r="R10" s="1" t="n"/>
      <c r="S10" s="1" t="n"/>
    </row>
    <row r="11">
      <c r="A11" s="1" t="n"/>
      <c r="B11" s="1" t="n"/>
      <c r="C11" s="9" t="inlineStr">
        <is>
          <t>Debt converted to equity</t>
        </is>
      </c>
      <c r="D11" s="1" t="n"/>
      <c r="E11" s="14">
        <f>E8-E12</f>
        <v/>
      </c>
      <c r="F11" s="1" t="n"/>
      <c r="G11" s="1" t="n"/>
      <c r="H11" s="15" t="inlineStr">
        <is>
          <t>Entry EV/EBITDA</t>
        </is>
      </c>
      <c r="I11" s="1" t="n"/>
      <c r="J11" s="1" t="n"/>
      <c r="K11" s="1" t="n"/>
      <c r="L11" s="17">
        <f>IFERROR(L10/L9,"nm")</f>
        <v/>
      </c>
      <c r="M11" s="1" t="n"/>
      <c r="N11" s="12" t="inlineStr">
        <is>
          <t>4. Rescue tranche carries warrant for +5% equity kicker</t>
        </is>
      </c>
      <c r="O11" s="1" t="n"/>
      <c r="P11" s="1" t="n"/>
      <c r="Q11" s="1" t="n"/>
      <c r="R11" s="1" t="n"/>
      <c r="S11" s="1" t="n"/>
    </row>
    <row r="12">
      <c r="A12" s="1" t="n"/>
      <c r="B12" s="1" t="n"/>
      <c r="C12" s="9" t="inlineStr">
        <is>
          <t>Debt retained as senior loan</t>
        </is>
      </c>
      <c r="D12" s="1" t="n"/>
      <c r="E12" s="10" t="n">
        <v>5000</v>
      </c>
      <c r="F12" s="1" t="n"/>
      <c r="G12" s="1" t="n"/>
      <c r="H12" s="9" t="inlineStr">
        <is>
          <t>Rescue tranche rate</t>
        </is>
      </c>
      <c r="I12" s="1" t="n"/>
      <c r="J12" s="1" t="n"/>
      <c r="K12" s="1" t="n"/>
      <c r="L12" s="13" t="n">
        <v>0.145</v>
      </c>
      <c r="M12" s="1" t="n"/>
      <c r="N12" s="12" t="inlineStr">
        <is>
          <t>5. Post-restr. debt: 7.5M vs. 20.3M pre-restr. (-63%)</t>
        </is>
      </c>
      <c r="O12" s="1" t="n"/>
      <c r="P12" s="1" t="n"/>
      <c r="Q12" s="1" t="n"/>
      <c r="R12" s="1" t="n"/>
      <c r="S12" s="1" t="n"/>
    </row>
    <row r="13">
      <c r="A13" s="1" t="n"/>
      <c r="B13" s="1" t="n"/>
      <c r="C13" s="9" t="inlineStr">
        <is>
          <t>Super-senior rescue (new cash)</t>
        </is>
      </c>
      <c r="D13" s="1" t="n"/>
      <c r="E13" s="10" t="n">
        <v>2500</v>
      </c>
      <c r="F13" s="1" t="n"/>
      <c r="G13" s="1" t="n"/>
      <c r="H13" s="9" t="inlineStr">
        <is>
          <t>Senior debt rate</t>
        </is>
      </c>
      <c r="I13" s="1" t="n"/>
      <c r="J13" s="1" t="n"/>
      <c r="K13" s="1" t="n"/>
      <c r="L13" s="13" t="n">
        <v>0.065</v>
      </c>
      <c r="M13" s="1" t="n"/>
      <c r="N13" s="12" t="inlineStr">
        <is>
          <t>6. Shariah compliance by Year 2 (Debt/TA &lt; 33%)</t>
        </is>
      </c>
      <c r="O13" s="1" t="n"/>
      <c r="P13" s="1" t="n"/>
      <c r="Q13" s="1" t="n"/>
      <c r="R13" s="1" t="n"/>
      <c r="S13" s="1" t="n"/>
    </row>
    <row r="14">
      <c r="A14" s="1" t="n"/>
      <c r="B14" s="1" t="n"/>
      <c r="C14" s="15" t="inlineStr">
        <is>
          <t>Total ALiF cash investment</t>
        </is>
      </c>
      <c r="D14" s="1" t="n"/>
      <c r="E14" s="16">
        <f>E10+E13</f>
        <v/>
      </c>
      <c r="F14" s="1" t="n"/>
      <c r="G14" s="1" t="n"/>
      <c r="H14" s="9" t="inlineStr">
        <is>
          <t>Senior amort (years)</t>
        </is>
      </c>
      <c r="I14" s="1" t="n"/>
      <c r="J14" s="1" t="n"/>
      <c r="K14" s="1" t="n"/>
      <c r="L14" s="18" t="n">
        <v>7</v>
      </c>
      <c r="M14" s="1" t="n"/>
      <c r="N14" s="12" t="inlineStr">
        <is>
          <t>7. Debt-free by Year 4-5 with aggressive sweep</t>
        </is>
      </c>
      <c r="O14" s="1" t="n"/>
      <c r="P14" s="1" t="n"/>
      <c r="Q14" s="1" t="n"/>
      <c r="R14" s="1" t="n"/>
      <c r="S14" s="1" t="n"/>
    </row>
    <row r="15">
      <c r="A15" s="1" t="n"/>
      <c r="B15" s="1" t="n"/>
      <c r="C15" s="9" t="inlineStr">
        <is>
          <t>ALiF ownership (incl. warrants)</t>
        </is>
      </c>
      <c r="D15" s="1" t="n"/>
      <c r="E15" s="13" t="n">
        <v>0.85</v>
      </c>
      <c r="F15" s="1" t="n"/>
      <c r="G15" s="1" t="n"/>
      <c r="H15" s="9" t="inlineStr">
        <is>
          <t>Debt issuance fees</t>
        </is>
      </c>
      <c r="I15" s="1" t="n"/>
      <c r="J15" s="1" t="n"/>
      <c r="K15" s="1" t="n"/>
      <c r="L15" s="13" t="n">
        <v>0.02</v>
      </c>
      <c r="M15" s="1" t="n"/>
      <c r="N15" s="12" t="inlineStr">
        <is>
          <t>8. Value creation: EBITDA growth + margin + deleverage</t>
        </is>
      </c>
      <c r="O15" s="1" t="n"/>
      <c r="P15" s="1" t="n"/>
      <c r="Q15" s="1" t="n"/>
      <c r="R15" s="1" t="n"/>
      <c r="S15" s="1" t="n"/>
    </row>
    <row r="16">
      <c r="A16" s="1" t="n"/>
      <c r="B16" s="1" t="n"/>
      <c r="C16" s="9" t="inlineStr">
        <is>
          <t>Family ownership</t>
        </is>
      </c>
      <c r="D16" s="1" t="n"/>
      <c r="E16" s="19">
        <f>1-E15</f>
        <v/>
      </c>
      <c r="F16" s="1" t="n"/>
      <c r="G16" s="1" t="n"/>
      <c r="H16" s="9" t="inlineStr">
        <is>
          <t>Advisory fees (% acq)</t>
        </is>
      </c>
      <c r="I16" s="1" t="n"/>
      <c r="J16" s="1" t="n"/>
      <c r="K16" s="1" t="n"/>
      <c r="L16" s="13" t="n">
        <v>0.02</v>
      </c>
      <c r="M16" s="1" t="n"/>
      <c r="N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9" t="inlineStr">
        <is>
          <t>Tax rate (Oman)</t>
        </is>
      </c>
      <c r="D17" s="1" t="n"/>
      <c r="E17" s="13" t="n">
        <v>0.15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5" t="inlineStr">
        <is>
          <t>SECTION 2 — SOURCES &amp; USES OF FUNDS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20" t="inlineStr">
        <is>
          <t>USES OF FUNDS</t>
        </is>
      </c>
      <c r="D23" s="21" t="n"/>
      <c r="E23" s="20" t="inlineStr">
        <is>
          <t>OMR '000</t>
        </is>
      </c>
      <c r="F23" s="20" t="inlineStr">
        <is>
          <t>% Total</t>
        </is>
      </c>
      <c r="G23" s="21" t="n"/>
      <c r="H23" s="20" t="inlineStr">
        <is>
          <t>SOURCES OF FUNDS</t>
        </is>
      </c>
      <c r="I23" s="21" t="n"/>
      <c r="J23" s="21" t="n"/>
      <c r="K23" s="20" t="inlineStr">
        <is>
          <t>OMR '000</t>
        </is>
      </c>
      <c r="L23" s="20" t="inlineStr">
        <is>
          <t>% Total</t>
        </is>
      </c>
      <c r="M23" s="20" t="inlineStr">
        <is>
          <t>Rate</t>
        </is>
      </c>
      <c r="N23" s="20" t="inlineStr">
        <is>
          <t>Maturity</t>
        </is>
      </c>
      <c r="O23" s="21" t="n"/>
      <c r="P23" s="21" t="n"/>
      <c r="Q23" s="21" t="n"/>
      <c r="R23" s="21" t="n"/>
      <c r="S23" s="2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9" t="inlineStr">
        <is>
          <t>Debt acquisition (cash to banks)</t>
        </is>
      </c>
      <c r="D25" s="1" t="n"/>
      <c r="E25" s="14">
        <f>E10</f>
        <v/>
      </c>
      <c r="F25" s="19">
        <f>IFERROR(E25/$E$30,0)</f>
        <v/>
      </c>
      <c r="G25" s="1" t="n"/>
      <c r="H25" s="9" t="inlineStr">
        <is>
          <t>Super-Senior Rescue Tranche</t>
        </is>
      </c>
      <c r="I25" s="1" t="n"/>
      <c r="J25" s="1" t="n"/>
      <c r="K25" s="14">
        <f>E13</f>
        <v/>
      </c>
      <c r="L25" s="19">
        <f>IFERROR(K25/$E$30,0)</f>
        <v/>
      </c>
      <c r="M25" s="19">
        <f>L12</f>
        <v/>
      </c>
      <c r="N25" s="18" t="n">
        <v>5</v>
      </c>
      <c r="O25" s="1" t="n"/>
      <c r="P25" s="1" t="n"/>
      <c r="Q25" s="1" t="n"/>
      <c r="R25" s="1" t="n"/>
      <c r="S25" s="1" t="n"/>
    </row>
    <row r="26">
      <c r="A26" s="1" t="n"/>
      <c r="B26" s="1" t="n"/>
      <c r="C26" s="9" t="inlineStr">
        <is>
          <t>Super-senior rescue injection</t>
        </is>
      </c>
      <c r="D26" s="1" t="n"/>
      <c r="E26" s="14">
        <f>E13</f>
        <v/>
      </c>
      <c r="F26" s="19">
        <f>IFERROR(E26/$E$30,0)</f>
        <v/>
      </c>
      <c r="G26" s="1" t="n"/>
      <c r="H26" s="9" t="inlineStr">
        <is>
          <t>Retained Senior Debt</t>
        </is>
      </c>
      <c r="I26" s="1" t="n"/>
      <c r="J26" s="1" t="n"/>
      <c r="K26" s="14">
        <f>E12</f>
        <v/>
      </c>
      <c r="L26" s="19">
        <f>IFERROR(K26/$E$30,0)</f>
        <v/>
      </c>
      <c r="M26" s="19">
        <f>L13</f>
        <v/>
      </c>
      <c r="N26" s="18">
        <f>L14</f>
        <v/>
      </c>
      <c r="O26" s="1" t="n"/>
      <c r="P26" s="1" t="n"/>
      <c r="Q26" s="1" t="n"/>
      <c r="R26" s="1" t="n"/>
      <c r="S26" s="1" t="n"/>
    </row>
    <row r="27">
      <c r="A27" s="1" t="n"/>
      <c r="B27" s="1" t="n"/>
      <c r="C27" s="9" t="inlineStr">
        <is>
          <t>Debt issuance fees</t>
        </is>
      </c>
      <c r="D27" s="1" t="n"/>
      <c r="E27" s="14">
        <f>L15*(E12+E13)</f>
        <v/>
      </c>
      <c r="F27" s="19">
        <f>IFERROR(E27/$E$30,0)</f>
        <v/>
      </c>
      <c r="G27" s="1" t="n"/>
      <c r="H27" s="9" t="inlineStr">
        <is>
          <t>ALiF Equity (debt-for-equity swap)</t>
        </is>
      </c>
      <c r="I27" s="1" t="n"/>
      <c r="J27" s="1" t="n"/>
      <c r="K27" s="14">
        <f>E30-K25-K26</f>
        <v/>
      </c>
      <c r="L27" s="19">
        <f>IFERROR(K27/$E$30,0)</f>
        <v/>
      </c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9" t="inlineStr">
        <is>
          <t>Advisory fees</t>
        </is>
      </c>
      <c r="D28" s="1" t="n"/>
      <c r="E28" s="14">
        <f>L16*E10</f>
        <v/>
      </c>
      <c r="F28" s="19">
        <f>IFERROR(E28/$E$30,0)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9" t="inlineStr">
        <is>
          <t>Operating / minimum cash</t>
        </is>
      </c>
      <c r="D29" s="1" t="n"/>
      <c r="E29" s="10" t="n">
        <v>500</v>
      </c>
      <c r="F29" s="19">
        <f>IFERROR(E29/$E$30,0)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5" t="inlineStr">
        <is>
          <t>TOTAL USES</t>
        </is>
      </c>
      <c r="D30" s="1" t="n"/>
      <c r="E30" s="16">
        <f>SUM(E25:E29)</f>
        <v/>
      </c>
      <c r="F30" s="22">
        <f>SUM(F25:F29)</f>
        <v/>
      </c>
      <c r="G30" s="1" t="n"/>
      <c r="H30" s="15" t="inlineStr">
        <is>
          <t>TOTAL SOURCES</t>
        </is>
      </c>
      <c r="I30" s="1" t="n"/>
      <c r="J30" s="1" t="n"/>
      <c r="K30" s="16">
        <f>SUM(K25:K27)</f>
        <v/>
      </c>
      <c r="L30" s="22">
        <f>SUM(L25:L27)</f>
        <v/>
      </c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23" t="inlineStr">
        <is>
          <t>Check (S − U)</t>
        </is>
      </c>
      <c r="I31" s="1" t="n"/>
      <c r="J31" s="1" t="n"/>
      <c r="K31" s="16">
        <f>K30-E30</f>
        <v/>
      </c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5" t="inlineStr">
        <is>
          <t>SECTION 3 — OPERATING MODEL (10-Year Projections)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20" t="inlineStr"/>
      <c r="D35" s="21" t="n"/>
      <c r="E35" s="21" t="n"/>
      <c r="F35" s="20" t="inlineStr">
        <is>
          <t>FY2022</t>
        </is>
      </c>
      <c r="G35" s="20" t="inlineStr">
        <is>
          <t>FY2023</t>
        </is>
      </c>
      <c r="H35" s="20" t="inlineStr">
        <is>
          <t>FY2024</t>
        </is>
      </c>
      <c r="I35" s="20" t="inlineStr">
        <is>
          <t>FY2025</t>
        </is>
      </c>
      <c r="J35" s="20" t="inlineStr">
        <is>
          <t>FY2026</t>
        </is>
      </c>
      <c r="K35" s="20" t="inlineStr">
        <is>
          <t>FY2027</t>
        </is>
      </c>
      <c r="L35" s="20" t="inlineStr">
        <is>
          <t>FY2028</t>
        </is>
      </c>
      <c r="M35" s="20" t="inlineStr">
        <is>
          <t>FY2029</t>
        </is>
      </c>
      <c r="N35" s="20" t="inlineStr">
        <is>
          <t>FY2030</t>
        </is>
      </c>
      <c r="O35" s="20" t="inlineStr">
        <is>
          <t>FY2031</t>
        </is>
      </c>
      <c r="P35" s="20" t="inlineStr">
        <is>
          <t>FY2032</t>
        </is>
      </c>
      <c r="Q35" s="20" t="inlineStr">
        <is>
          <t>FY2033</t>
        </is>
      </c>
      <c r="R35" s="20" t="inlineStr">
        <is>
          <t>FY2034</t>
        </is>
      </c>
      <c r="S35" s="2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5" t="inlineStr">
        <is>
          <t>Net Revenue</t>
        </is>
      </c>
      <c r="D37" s="1" t="n"/>
      <c r="E37" s="1" t="n"/>
      <c r="F37" s="24" t="n">
        <v>7500</v>
      </c>
      <c r="G37" s="24" t="n">
        <v>8200</v>
      </c>
      <c r="H37" s="24" t="n">
        <v>8995.799999999999</v>
      </c>
      <c r="I37" s="10" t="n">
        <v>14932</v>
      </c>
      <c r="J37" s="10" t="n">
        <v>17283</v>
      </c>
      <c r="K37" s="10" t="n">
        <v>19458</v>
      </c>
      <c r="L37" s="10" t="n">
        <v>20631</v>
      </c>
      <c r="M37" s="10" t="n">
        <v>21634</v>
      </c>
      <c r="N37" s="14">
        <f>M37*1.03</f>
        <v/>
      </c>
      <c r="O37" s="14">
        <f>N37*1.03</f>
        <v/>
      </c>
      <c r="P37" s="14">
        <f>O37*1.03</f>
        <v/>
      </c>
      <c r="Q37" s="14">
        <f>P37*1.03</f>
        <v/>
      </c>
      <c r="R37" s="14">
        <f>Q37*1.03</f>
        <v/>
      </c>
      <c r="S37" s="1" t="n"/>
    </row>
    <row r="38">
      <c r="A38" s="1" t="n"/>
      <c r="B38" s="1" t="n"/>
      <c r="C38" s="1" t="n"/>
      <c r="D38" s="9" t="inlineStr">
        <is>
          <t>% growth y/y</t>
        </is>
      </c>
      <c r="E38" s="1" t="n"/>
      <c r="F38" s="1" t="n"/>
      <c r="G38" s="25">
        <f>IFERROR(G37/F37-1,"")</f>
        <v/>
      </c>
      <c r="H38" s="25">
        <f>IFERROR(H37/G37-1,"")</f>
        <v/>
      </c>
      <c r="I38" s="19">
        <f>IFERROR(I37/H37-1,"")</f>
        <v/>
      </c>
      <c r="J38" s="19">
        <f>IFERROR(J37/I37-1,"")</f>
        <v/>
      </c>
      <c r="K38" s="19">
        <f>IFERROR(K37/J37-1,"")</f>
        <v/>
      </c>
      <c r="L38" s="19">
        <f>IFERROR(L37/K37-1,"")</f>
        <v/>
      </c>
      <c r="M38" s="19">
        <f>IFERROR(M37/L37-1,"")</f>
        <v/>
      </c>
      <c r="N38" s="19">
        <f>IFERROR(N37/M37-1,"")</f>
        <v/>
      </c>
      <c r="O38" s="19">
        <f>IFERROR(O37/N37-1,"")</f>
        <v/>
      </c>
      <c r="P38" s="19">
        <f>IFERROR(P37/O37-1,"")</f>
        <v/>
      </c>
      <c r="Q38" s="19">
        <f>IFERROR(Q37/P37-1,"")</f>
        <v/>
      </c>
      <c r="R38" s="19">
        <f>IFERROR(R37/Q37-1,"")</f>
        <v/>
      </c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9" t="inlineStr">
        <is>
          <t>EBITDA Margin %</t>
        </is>
      </c>
      <c r="D40" s="1" t="n"/>
      <c r="E40" s="1" t="n"/>
      <c r="F40" s="26" t="n">
        <v>-0.107</v>
      </c>
      <c r="G40" s="26" t="n">
        <v>-0.024</v>
      </c>
      <c r="H40" s="26" t="n">
        <v>0.002</v>
      </c>
      <c r="I40" s="13" t="n">
        <v>0.08</v>
      </c>
      <c r="J40" s="13" t="n">
        <v>0.1</v>
      </c>
      <c r="K40" s="13" t="n">
        <v>0.13</v>
      </c>
      <c r="L40" s="13" t="n">
        <v>0.15</v>
      </c>
      <c r="M40" s="13" t="n">
        <v>0.1774</v>
      </c>
      <c r="N40" s="13" t="n">
        <v>0.18</v>
      </c>
      <c r="O40" s="13" t="n">
        <v>0.18</v>
      </c>
      <c r="P40" s="13" t="n">
        <v>0.18</v>
      </c>
      <c r="Q40" s="13" t="n">
        <v>0.18</v>
      </c>
      <c r="R40" s="13" t="n">
        <v>0.18</v>
      </c>
      <c r="S40" s="1" t="n"/>
    </row>
    <row r="41">
      <c r="A41" s="1" t="n"/>
      <c r="B41" s="1" t="n"/>
      <c r="C41" s="15" t="inlineStr">
        <is>
          <t>EBITDA</t>
        </is>
      </c>
      <c r="D41" s="1" t="n"/>
      <c r="E41" s="1" t="n"/>
      <c r="F41" s="9">
        <f>F37*F40</f>
        <v/>
      </c>
      <c r="G41" s="9">
        <f>G37*G40</f>
        <v/>
      </c>
      <c r="H41" s="9">
        <f>H37*H40</f>
        <v/>
      </c>
      <c r="I41" s="27">
        <f>I37*I40</f>
        <v/>
      </c>
      <c r="J41" s="27">
        <f>J37*J40</f>
        <v/>
      </c>
      <c r="K41" s="27">
        <f>K37*K40</f>
        <v/>
      </c>
      <c r="L41" s="27">
        <f>L37*L40</f>
        <v/>
      </c>
      <c r="M41" s="27">
        <f>M37*M40</f>
        <v/>
      </c>
      <c r="N41" s="27">
        <f>N37*N40</f>
        <v/>
      </c>
      <c r="O41" s="27">
        <f>O37*O40</f>
        <v/>
      </c>
      <c r="P41" s="27">
        <f>P37*P40</f>
        <v/>
      </c>
      <c r="Q41" s="27">
        <f>Q37*Q40</f>
        <v/>
      </c>
      <c r="R41" s="27">
        <f>R37*R40</f>
        <v/>
      </c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9" t="inlineStr">
        <is>
          <t>D&amp;A (% of Capex)</t>
        </is>
      </c>
      <c r="D43" s="1" t="n"/>
      <c r="E43" s="1" t="n"/>
      <c r="F43" s="1" t="n"/>
      <c r="G43" s="1" t="n"/>
      <c r="H43" s="1" t="n"/>
      <c r="I43" s="11" t="n">
        <v>0.5</v>
      </c>
      <c r="J43" s="11" t="n">
        <v>0.5</v>
      </c>
      <c r="K43" s="11" t="n">
        <v>0.5</v>
      </c>
      <c r="L43" s="11" t="n">
        <v>0.5</v>
      </c>
      <c r="M43" s="11" t="n">
        <v>0.5</v>
      </c>
      <c r="N43" s="11" t="n">
        <v>0.5</v>
      </c>
      <c r="O43" s="11" t="n">
        <v>0.5</v>
      </c>
      <c r="P43" s="11" t="n">
        <v>0.5</v>
      </c>
      <c r="Q43" s="11" t="n">
        <v>0.5</v>
      </c>
      <c r="R43" s="11" t="n">
        <v>0.5</v>
      </c>
      <c r="S43" s="1" t="n"/>
    </row>
    <row r="44">
      <c r="A44" s="1" t="n"/>
      <c r="B44" s="1" t="n"/>
      <c r="C44" s="9" t="inlineStr">
        <is>
          <t>Capex (% of revenue)</t>
        </is>
      </c>
      <c r="D44" s="1" t="n"/>
      <c r="E44" s="1" t="n"/>
      <c r="F44" s="1" t="n"/>
      <c r="G44" s="1" t="n"/>
      <c r="H44" s="1" t="n"/>
      <c r="I44" s="13" t="n">
        <v>0.02</v>
      </c>
      <c r="J44" s="13" t="n">
        <v>0.02</v>
      </c>
      <c r="K44" s="13" t="n">
        <v>0.02</v>
      </c>
      <c r="L44" s="13" t="n">
        <v>0.02</v>
      </c>
      <c r="M44" s="13" t="n">
        <v>0.02</v>
      </c>
      <c r="N44" s="13" t="n">
        <v>0.02</v>
      </c>
      <c r="O44" s="13" t="n">
        <v>0.02</v>
      </c>
      <c r="P44" s="13" t="n">
        <v>0.02</v>
      </c>
      <c r="Q44" s="13" t="n">
        <v>0.02</v>
      </c>
      <c r="R44" s="13" t="n">
        <v>0.02</v>
      </c>
      <c r="S44" s="1" t="n"/>
    </row>
    <row r="45">
      <c r="A45" s="1" t="n"/>
      <c r="B45" s="1" t="n"/>
      <c r="C45" s="9" t="inlineStr">
        <is>
          <t>Capex</t>
        </is>
      </c>
      <c r="D45" s="1" t="n"/>
      <c r="E45" s="1" t="n"/>
      <c r="F45" s="1" t="n"/>
      <c r="G45" s="1" t="n"/>
      <c r="H45" s="1" t="n"/>
      <c r="I45" s="14">
        <f>I37*I44</f>
        <v/>
      </c>
      <c r="J45" s="14">
        <f>J37*J44</f>
        <v/>
      </c>
      <c r="K45" s="14">
        <f>K37*K44</f>
        <v/>
      </c>
      <c r="L45" s="14">
        <f>L37*L44</f>
        <v/>
      </c>
      <c r="M45" s="14">
        <f>M37*M44</f>
        <v/>
      </c>
      <c r="N45" s="14">
        <f>N37*N44</f>
        <v/>
      </c>
      <c r="O45" s="14">
        <f>O37*O44</f>
        <v/>
      </c>
      <c r="P45" s="14">
        <f>P37*P44</f>
        <v/>
      </c>
      <c r="Q45" s="14">
        <f>Q37*Q44</f>
        <v/>
      </c>
      <c r="R45" s="14">
        <f>R37*R44</f>
        <v/>
      </c>
      <c r="S45" s="1" t="n"/>
    </row>
    <row r="46">
      <c r="A46" s="1" t="n"/>
      <c r="B46" s="1" t="n"/>
      <c r="C46" s="9" t="inlineStr">
        <is>
          <t>D&amp;A</t>
        </is>
      </c>
      <c r="D46" s="1" t="n"/>
      <c r="E46" s="1" t="n"/>
      <c r="F46" s="1" t="n"/>
      <c r="G46" s="1" t="n"/>
      <c r="H46" s="1" t="n"/>
      <c r="I46" s="14">
        <f>I45/I43</f>
        <v/>
      </c>
      <c r="J46" s="14">
        <f>J45/J43</f>
        <v/>
      </c>
      <c r="K46" s="14">
        <f>K45/K43</f>
        <v/>
      </c>
      <c r="L46" s="14">
        <f>L45/L43</f>
        <v/>
      </c>
      <c r="M46" s="14">
        <f>M45/M43</f>
        <v/>
      </c>
      <c r="N46" s="14">
        <f>N45/N43</f>
        <v/>
      </c>
      <c r="O46" s="14">
        <f>O45/O43</f>
        <v/>
      </c>
      <c r="P46" s="14">
        <f>P45/P43</f>
        <v/>
      </c>
      <c r="Q46" s="14">
        <f>Q45/Q43</f>
        <v/>
      </c>
      <c r="R46" s="14">
        <f>R45/R43</f>
        <v/>
      </c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9" t="inlineStr">
        <is>
          <t>WC (% of rev change)</t>
        </is>
      </c>
      <c r="D48" s="1" t="n"/>
      <c r="E48" s="1" t="n"/>
      <c r="F48" s="1" t="n"/>
      <c r="G48" s="1" t="n"/>
      <c r="H48" s="1" t="n"/>
      <c r="I48" s="13" t="n">
        <v>0.05</v>
      </c>
      <c r="J48" s="13" t="n">
        <v>0.05</v>
      </c>
      <c r="K48" s="13" t="n">
        <v>0.05</v>
      </c>
      <c r="L48" s="13" t="n">
        <v>0.05</v>
      </c>
      <c r="M48" s="13" t="n">
        <v>0.05</v>
      </c>
      <c r="N48" s="13" t="n">
        <v>0.05</v>
      </c>
      <c r="O48" s="13" t="n">
        <v>0.05</v>
      </c>
      <c r="P48" s="13" t="n">
        <v>0.05</v>
      </c>
      <c r="Q48" s="13" t="n">
        <v>0.05</v>
      </c>
      <c r="R48" s="13" t="n">
        <v>0.05</v>
      </c>
      <c r="S48" s="1" t="n"/>
    </row>
    <row r="49">
      <c r="A49" s="1" t="n"/>
      <c r="B49" s="1" t="n"/>
      <c r="C49" s="9" t="inlineStr">
        <is>
          <t>Change in Working Capital</t>
        </is>
      </c>
      <c r="D49" s="1" t="n"/>
      <c r="E49" s="1" t="n"/>
      <c r="F49" s="1" t="n"/>
      <c r="G49" s="1" t="n"/>
      <c r="H49" s="1" t="n"/>
      <c r="I49" s="14">
        <f>(I37-H37)*I48*-1</f>
        <v/>
      </c>
      <c r="J49" s="14">
        <f>(J37-I37)*J48*-1</f>
        <v/>
      </c>
      <c r="K49" s="14">
        <f>(K37-J37)*K48*-1</f>
        <v/>
      </c>
      <c r="L49" s="14">
        <f>(L37-K37)*L48*-1</f>
        <v/>
      </c>
      <c r="M49" s="14">
        <f>(M37-L37)*M48*-1</f>
        <v/>
      </c>
      <c r="N49" s="14">
        <f>(N37-M37)*N48*-1</f>
        <v/>
      </c>
      <c r="O49" s="14">
        <f>(O37-N37)*O48*-1</f>
        <v/>
      </c>
      <c r="P49" s="14">
        <f>(P37-O37)*P48*-1</f>
        <v/>
      </c>
      <c r="Q49" s="14">
        <f>(Q37-P37)*Q48*-1</f>
        <v/>
      </c>
      <c r="R49" s="14">
        <f>(R37-Q37)*R48*-1</f>
        <v/>
      </c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5" t="inlineStr">
        <is>
          <t>SECTION 4 — PRO-FORMA P&amp;L &amp; FREE CASH FLOW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20" t="inlineStr"/>
      <c r="D53" s="21" t="n"/>
      <c r="E53" s="21" t="n"/>
      <c r="F53" s="21" t="n"/>
      <c r="G53" s="21" t="n"/>
      <c r="H53" s="21" t="n"/>
      <c r="I53" s="20" t="inlineStr">
        <is>
          <t>FY2025</t>
        </is>
      </c>
      <c r="J53" s="20" t="inlineStr">
        <is>
          <t>FY2026</t>
        </is>
      </c>
      <c r="K53" s="20" t="inlineStr">
        <is>
          <t>FY2027</t>
        </is>
      </c>
      <c r="L53" s="20" t="inlineStr">
        <is>
          <t>FY2028</t>
        </is>
      </c>
      <c r="M53" s="20" t="inlineStr">
        <is>
          <t>FY2029</t>
        </is>
      </c>
      <c r="N53" s="20" t="inlineStr">
        <is>
          <t>FY2030</t>
        </is>
      </c>
      <c r="O53" s="20" t="inlineStr">
        <is>
          <t>FY2031</t>
        </is>
      </c>
      <c r="P53" s="20" t="inlineStr">
        <is>
          <t>FY2032</t>
        </is>
      </c>
      <c r="Q53" s="20" t="inlineStr">
        <is>
          <t>FY2033</t>
        </is>
      </c>
      <c r="R53" s="20" t="inlineStr">
        <is>
          <t>FY2034</t>
        </is>
      </c>
      <c r="S53" s="2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9" t="inlineStr">
        <is>
          <t>Revenue</t>
        </is>
      </c>
      <c r="D55" s="1" t="n"/>
      <c r="E55" s="1" t="n"/>
      <c r="F55" s="1" t="n"/>
      <c r="G55" s="1" t="n"/>
      <c r="H55" s="1" t="n"/>
      <c r="I55" s="14">
        <f>I37</f>
        <v/>
      </c>
      <c r="J55" s="14">
        <f>J37</f>
        <v/>
      </c>
      <c r="K55" s="14">
        <f>K37</f>
        <v/>
      </c>
      <c r="L55" s="14">
        <f>L37</f>
        <v/>
      </c>
      <c r="M55" s="14">
        <f>M37</f>
        <v/>
      </c>
      <c r="N55" s="14">
        <f>N37</f>
        <v/>
      </c>
      <c r="O55" s="14">
        <f>O37</f>
        <v/>
      </c>
      <c r="P55" s="14">
        <f>P37</f>
        <v/>
      </c>
      <c r="Q55" s="14">
        <f>Q37</f>
        <v/>
      </c>
      <c r="R55" s="14">
        <f>R37</f>
        <v/>
      </c>
      <c r="S55" s="1" t="n"/>
    </row>
    <row r="56">
      <c r="A56" s="1" t="n"/>
      <c r="B56" s="1" t="n"/>
      <c r="C56" s="15" t="inlineStr">
        <is>
          <t>EBITDA</t>
        </is>
      </c>
      <c r="D56" s="1" t="n"/>
      <c r="E56" s="1" t="n"/>
      <c r="F56" s="1" t="n"/>
      <c r="G56" s="1" t="n"/>
      <c r="H56" s="1" t="n"/>
      <c r="I56" s="27">
        <f>I41</f>
        <v/>
      </c>
      <c r="J56" s="27">
        <f>J41</f>
        <v/>
      </c>
      <c r="K56" s="27">
        <f>K41</f>
        <v/>
      </c>
      <c r="L56" s="27">
        <f>L41</f>
        <v/>
      </c>
      <c r="M56" s="27">
        <f>M41</f>
        <v/>
      </c>
      <c r="N56" s="27">
        <f>N41</f>
        <v/>
      </c>
      <c r="O56" s="27">
        <f>O41</f>
        <v/>
      </c>
      <c r="P56" s="27">
        <f>P41</f>
        <v/>
      </c>
      <c r="Q56" s="27">
        <f>Q41</f>
        <v/>
      </c>
      <c r="R56" s="27">
        <f>R41</f>
        <v/>
      </c>
      <c r="S56" s="1" t="n"/>
    </row>
    <row r="57">
      <c r="A57" s="1" t="n"/>
      <c r="B57" s="1" t="n"/>
      <c r="C57" s="1" t="n"/>
      <c r="D57" s="9" t="inlineStr">
        <is>
          <t>(-) D&amp;A</t>
        </is>
      </c>
      <c r="E57" s="1" t="n"/>
      <c r="F57" s="1" t="n"/>
      <c r="G57" s="1" t="n"/>
      <c r="H57" s="1" t="n"/>
      <c r="I57" s="14">
        <f>I46*-1</f>
        <v/>
      </c>
      <c r="J57" s="14">
        <f>J46*-1</f>
        <v/>
      </c>
      <c r="K57" s="14">
        <f>K46*-1</f>
        <v/>
      </c>
      <c r="L57" s="14">
        <f>L46*-1</f>
        <v/>
      </c>
      <c r="M57" s="14">
        <f>M46*-1</f>
        <v/>
      </c>
      <c r="N57" s="14">
        <f>N46*-1</f>
        <v/>
      </c>
      <c r="O57" s="14">
        <f>O46*-1</f>
        <v/>
      </c>
      <c r="P57" s="14">
        <f>P46*-1</f>
        <v/>
      </c>
      <c r="Q57" s="14">
        <f>Q46*-1</f>
        <v/>
      </c>
      <c r="R57" s="14">
        <f>R46*-1</f>
        <v/>
      </c>
      <c r="S57" s="1" t="n"/>
    </row>
    <row r="58">
      <c r="A58" s="1" t="n"/>
      <c r="B58" s="1" t="n"/>
      <c r="C58" s="15" t="inlineStr">
        <is>
          <t>EBIT</t>
        </is>
      </c>
      <c r="D58" s="1" t="n"/>
      <c r="E58" s="1" t="n"/>
      <c r="F58" s="1" t="n"/>
      <c r="G58" s="1" t="n"/>
      <c r="H58" s="1" t="n"/>
      <c r="I58" s="27">
        <f>I56+I57</f>
        <v/>
      </c>
      <c r="J58" s="27">
        <f>J56+J57</f>
        <v/>
      </c>
      <c r="K58" s="27">
        <f>K56+K57</f>
        <v/>
      </c>
      <c r="L58" s="27">
        <f>L56+L57</f>
        <v/>
      </c>
      <c r="M58" s="27">
        <f>M56+M57</f>
        <v/>
      </c>
      <c r="N58" s="27">
        <f>N56+N57</f>
        <v/>
      </c>
      <c r="O58" s="27">
        <f>O56+O57</f>
        <v/>
      </c>
      <c r="P58" s="27">
        <f>P56+P57</f>
        <v/>
      </c>
      <c r="Q58" s="27">
        <f>Q56+Q57</f>
        <v/>
      </c>
      <c r="R58" s="27">
        <f>R56+R57</f>
        <v/>
      </c>
      <c r="S58" s="1" t="n"/>
    </row>
    <row r="59">
      <c r="A59" s="1" t="n"/>
      <c r="B59" s="1" t="n"/>
      <c r="C59" s="1" t="n"/>
      <c r="D59" s="9" t="inlineStr">
        <is>
          <t>(-) Interest expense</t>
        </is>
      </c>
      <c r="E59" s="1" t="n"/>
      <c r="F59" s="1" t="n"/>
      <c r="G59" s="1" t="n"/>
      <c r="H59" s="1" t="n"/>
      <c r="I59" s="14">
        <f>I120*-1</f>
        <v/>
      </c>
      <c r="J59" s="14">
        <f>J120*-1</f>
        <v/>
      </c>
      <c r="K59" s="14">
        <f>K120*-1</f>
        <v/>
      </c>
      <c r="L59" s="14">
        <f>L120*-1</f>
        <v/>
      </c>
      <c r="M59" s="14">
        <f>M120*-1</f>
        <v/>
      </c>
      <c r="N59" s="14">
        <f>N120*-1</f>
        <v/>
      </c>
      <c r="O59" s="14">
        <f>O120*-1</f>
        <v/>
      </c>
      <c r="P59" s="14">
        <f>P120*-1</f>
        <v/>
      </c>
      <c r="Q59" s="14">
        <f>Q120*-1</f>
        <v/>
      </c>
      <c r="R59" s="14">
        <f>R120*-1</f>
        <v/>
      </c>
      <c r="S59" s="1" t="n"/>
    </row>
    <row r="60">
      <c r="A60" s="1" t="n"/>
      <c r="B60" s="1" t="n"/>
      <c r="C60" s="15" t="inlineStr">
        <is>
          <t>EBT</t>
        </is>
      </c>
      <c r="D60" s="1" t="n"/>
      <c r="E60" s="1" t="n"/>
      <c r="F60" s="1" t="n"/>
      <c r="G60" s="1" t="n"/>
      <c r="H60" s="1" t="n"/>
      <c r="I60" s="27">
        <f>I58+I59</f>
        <v/>
      </c>
      <c r="J60" s="27">
        <f>J58+J59</f>
        <v/>
      </c>
      <c r="K60" s="27">
        <f>K58+K59</f>
        <v/>
      </c>
      <c r="L60" s="27">
        <f>L58+L59</f>
        <v/>
      </c>
      <c r="M60" s="27">
        <f>M58+M59</f>
        <v/>
      </c>
      <c r="N60" s="27">
        <f>N58+N59</f>
        <v/>
      </c>
      <c r="O60" s="27">
        <f>O58+O59</f>
        <v/>
      </c>
      <c r="P60" s="27">
        <f>P58+P59</f>
        <v/>
      </c>
      <c r="Q60" s="27">
        <f>Q58+Q59</f>
        <v/>
      </c>
      <c r="R60" s="27">
        <f>R58+R59</f>
        <v/>
      </c>
      <c r="S60" s="1" t="n"/>
    </row>
    <row r="61">
      <c r="A61" s="1" t="n"/>
      <c r="B61" s="1" t="n"/>
      <c r="C61" s="1" t="n"/>
      <c r="D61" s="9" t="inlineStr">
        <is>
          <t>(-) Tax</t>
        </is>
      </c>
      <c r="E61" s="1" t="n"/>
      <c r="F61" s="1" t="n"/>
      <c r="G61" s="1" t="n"/>
      <c r="H61" s="1" t="n"/>
      <c r="I61" s="14">
        <f>IF(I60&gt;0,I60*$E$17*-1,0)</f>
        <v/>
      </c>
      <c r="J61" s="14">
        <f>IF(J60&gt;0,J60*$E$17*-1,0)</f>
        <v/>
      </c>
      <c r="K61" s="14">
        <f>IF(K60&gt;0,K60*$E$17*-1,0)</f>
        <v/>
      </c>
      <c r="L61" s="14">
        <f>IF(L60&gt;0,L60*$E$17*-1,0)</f>
        <v/>
      </c>
      <c r="M61" s="14">
        <f>IF(M60&gt;0,M60*$E$17*-1,0)</f>
        <v/>
      </c>
      <c r="N61" s="14">
        <f>IF(N60&gt;0,N60*$E$17*-1,0)</f>
        <v/>
      </c>
      <c r="O61" s="14">
        <f>IF(O60&gt;0,O60*$E$17*-1,0)</f>
        <v/>
      </c>
      <c r="P61" s="14">
        <f>IF(P60&gt;0,P60*$E$17*-1,0)</f>
        <v/>
      </c>
      <c r="Q61" s="14">
        <f>IF(Q60&gt;0,Q60*$E$17*-1,0)</f>
        <v/>
      </c>
      <c r="R61" s="14">
        <f>IF(R60&gt;0,R60*$E$17*-1,0)</f>
        <v/>
      </c>
      <c r="S61" s="1" t="n"/>
    </row>
    <row r="62">
      <c r="A62" s="1" t="n"/>
      <c r="B62" s="1" t="n"/>
      <c r="C62" s="15" t="inlineStr">
        <is>
          <t>Net Income</t>
        </is>
      </c>
      <c r="D62" s="1" t="n"/>
      <c r="E62" s="1" t="n"/>
      <c r="F62" s="1" t="n"/>
      <c r="G62" s="1" t="n"/>
      <c r="H62" s="1" t="n"/>
      <c r="I62" s="27">
        <f>I60+I61</f>
        <v/>
      </c>
      <c r="J62" s="27">
        <f>J60+J61</f>
        <v/>
      </c>
      <c r="K62" s="27">
        <f>K60+K61</f>
        <v/>
      </c>
      <c r="L62" s="27">
        <f>L60+L61</f>
        <v/>
      </c>
      <c r="M62" s="27">
        <f>M60+M61</f>
        <v/>
      </c>
      <c r="N62" s="27">
        <f>N60+N61</f>
        <v/>
      </c>
      <c r="O62" s="27">
        <f>O60+O61</f>
        <v/>
      </c>
      <c r="P62" s="27">
        <f>P60+P61</f>
        <v/>
      </c>
      <c r="Q62" s="27">
        <f>Q60+Q61</f>
        <v/>
      </c>
      <c r="R62" s="27">
        <f>R60+R61</f>
        <v/>
      </c>
      <c r="S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>
      <c r="A64" s="1" t="n"/>
      <c r="B64" s="1" t="n"/>
      <c r="C64" s="8" t="inlineStr">
        <is>
          <t>FREE CASH FLOW BUILD</t>
        </is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>
      <c r="A65" s="1" t="n"/>
      <c r="B65" s="1" t="n"/>
      <c r="C65" s="9" t="inlineStr">
        <is>
          <t>EBITDA</t>
        </is>
      </c>
      <c r="D65" s="1" t="n"/>
      <c r="E65" s="1" t="n"/>
      <c r="F65" s="1" t="n"/>
      <c r="G65" s="1" t="n"/>
      <c r="H65" s="1" t="n"/>
      <c r="I65" s="14">
        <f>I41</f>
        <v/>
      </c>
      <c r="J65" s="14">
        <f>J41</f>
        <v/>
      </c>
      <c r="K65" s="14">
        <f>K41</f>
        <v/>
      </c>
      <c r="L65" s="14">
        <f>L41</f>
        <v/>
      </c>
      <c r="M65" s="14">
        <f>M41</f>
        <v/>
      </c>
      <c r="N65" s="14">
        <f>N41</f>
        <v/>
      </c>
      <c r="O65" s="14">
        <f>O41</f>
        <v/>
      </c>
      <c r="P65" s="14">
        <f>P41</f>
        <v/>
      </c>
      <c r="Q65" s="14">
        <f>Q41</f>
        <v/>
      </c>
      <c r="R65" s="14">
        <f>R41</f>
        <v/>
      </c>
      <c r="S65" s="1" t="n"/>
    </row>
    <row r="66">
      <c r="A66" s="1" t="n"/>
      <c r="B66" s="1" t="n"/>
      <c r="C66" s="1" t="n"/>
      <c r="D66" s="9" t="inlineStr">
        <is>
          <t>(-) Capex</t>
        </is>
      </c>
      <c r="E66" s="1" t="n"/>
      <c r="F66" s="1" t="n"/>
      <c r="G66" s="1" t="n"/>
      <c r="H66" s="1" t="n"/>
      <c r="I66" s="14">
        <f>I45*-1</f>
        <v/>
      </c>
      <c r="J66" s="14">
        <f>J45*-1</f>
        <v/>
      </c>
      <c r="K66" s="14">
        <f>K45*-1</f>
        <v/>
      </c>
      <c r="L66" s="14">
        <f>L45*-1</f>
        <v/>
      </c>
      <c r="M66" s="14">
        <f>M45*-1</f>
        <v/>
      </c>
      <c r="N66" s="14">
        <f>N45*-1</f>
        <v/>
      </c>
      <c r="O66" s="14">
        <f>O45*-1</f>
        <v/>
      </c>
      <c r="P66" s="14">
        <f>P45*-1</f>
        <v/>
      </c>
      <c r="Q66" s="14">
        <f>Q45*-1</f>
        <v/>
      </c>
      <c r="R66" s="14">
        <f>R45*-1</f>
        <v/>
      </c>
      <c r="S66" s="1" t="n"/>
    </row>
    <row r="67">
      <c r="A67" s="1" t="n"/>
      <c r="B67" s="1" t="n"/>
      <c r="C67" s="1" t="n"/>
      <c r="D67" s="9" t="inlineStr">
        <is>
          <t>(-) Change in WC</t>
        </is>
      </c>
      <c r="E67" s="1" t="n"/>
      <c r="F67" s="1" t="n"/>
      <c r="G67" s="1" t="n"/>
      <c r="H67" s="1" t="n"/>
      <c r="I67" s="14">
        <f>I49</f>
        <v/>
      </c>
      <c r="J67" s="14">
        <f>J49</f>
        <v/>
      </c>
      <c r="K67" s="14">
        <f>K49</f>
        <v/>
      </c>
      <c r="L67" s="14">
        <f>L49</f>
        <v/>
      </c>
      <c r="M67" s="14">
        <f>M49</f>
        <v/>
      </c>
      <c r="N67" s="14">
        <f>N49</f>
        <v/>
      </c>
      <c r="O67" s="14">
        <f>O49</f>
        <v/>
      </c>
      <c r="P67" s="14">
        <f>P49</f>
        <v/>
      </c>
      <c r="Q67" s="14">
        <f>Q49</f>
        <v/>
      </c>
      <c r="R67" s="14">
        <f>R49</f>
        <v/>
      </c>
      <c r="S67" s="1" t="n"/>
    </row>
    <row r="68">
      <c r="A68" s="1" t="n"/>
      <c r="B68" s="1" t="n"/>
      <c r="C68" s="15" t="inlineStr">
        <is>
          <t>Unlevered FCF (UFCF)</t>
        </is>
      </c>
      <c r="D68" s="1" t="n"/>
      <c r="E68" s="1" t="n"/>
      <c r="F68" s="1" t="n"/>
      <c r="G68" s="1" t="n"/>
      <c r="H68" s="1" t="n"/>
      <c r="I68" s="27">
        <f>SUM(I65:I67)</f>
        <v/>
      </c>
      <c r="J68" s="27">
        <f>SUM(J65:J67)</f>
        <v/>
      </c>
      <c r="K68" s="27">
        <f>SUM(K65:K67)</f>
        <v/>
      </c>
      <c r="L68" s="27">
        <f>SUM(L65:L67)</f>
        <v/>
      </c>
      <c r="M68" s="27">
        <f>SUM(M65:M67)</f>
        <v/>
      </c>
      <c r="N68" s="27">
        <f>SUM(N65:N67)</f>
        <v/>
      </c>
      <c r="O68" s="27">
        <f>SUM(O65:O67)</f>
        <v/>
      </c>
      <c r="P68" s="27">
        <f>SUM(P65:P67)</f>
        <v/>
      </c>
      <c r="Q68" s="27">
        <f>SUM(Q65:Q67)</f>
        <v/>
      </c>
      <c r="R68" s="27">
        <f>SUM(R65:R67)</f>
        <v/>
      </c>
      <c r="S68" s="1" t="n"/>
    </row>
    <row r="69">
      <c r="A69" s="1" t="n"/>
      <c r="B69" s="1" t="n"/>
      <c r="C69" s="1" t="n"/>
      <c r="D69" s="9" t="inlineStr">
        <is>
          <t>(-) Cash interest</t>
        </is>
      </c>
      <c r="E69" s="1" t="n"/>
      <c r="F69" s="1" t="n"/>
      <c r="G69" s="1" t="n"/>
      <c r="H69" s="1" t="n"/>
      <c r="I69" s="14">
        <f>I120*-1</f>
        <v/>
      </c>
      <c r="J69" s="14">
        <f>J120*-1</f>
        <v/>
      </c>
      <c r="K69" s="14">
        <f>K120*-1</f>
        <v/>
      </c>
      <c r="L69" s="14">
        <f>L120*-1</f>
        <v/>
      </c>
      <c r="M69" s="14">
        <f>M120*-1</f>
        <v/>
      </c>
      <c r="N69" s="14">
        <f>N120*-1</f>
        <v/>
      </c>
      <c r="O69" s="14">
        <f>O120*-1</f>
        <v/>
      </c>
      <c r="P69" s="14">
        <f>P120*-1</f>
        <v/>
      </c>
      <c r="Q69" s="14">
        <f>Q120*-1</f>
        <v/>
      </c>
      <c r="R69" s="14">
        <f>R120*-1</f>
        <v/>
      </c>
      <c r="S69" s="1" t="n"/>
    </row>
    <row r="70">
      <c r="A70" s="1" t="n"/>
      <c r="B70" s="1" t="n"/>
      <c r="C70" s="1" t="n"/>
      <c r="D70" s="9" t="inlineStr">
        <is>
          <t>(-) Tax on (UFCF - Int)</t>
        </is>
      </c>
      <c r="E70" s="1" t="n"/>
      <c r="F70" s="1" t="n"/>
      <c r="G70" s="1" t="n"/>
      <c r="H70" s="1" t="n"/>
      <c r="I70" s="14">
        <f>IF(I68+I69&gt;0,(I68+I69)*$E$17*-1,0)</f>
        <v/>
      </c>
      <c r="J70" s="14">
        <f>IF(J68+J69&gt;0,(J68+J69)*$E$17*-1,0)</f>
        <v/>
      </c>
      <c r="K70" s="14">
        <f>IF(K68+K69&gt;0,(K68+K69)*$E$17*-1,0)</f>
        <v/>
      </c>
      <c r="L70" s="14">
        <f>IF(L68+L69&gt;0,(L68+L69)*$E$17*-1,0)</f>
        <v/>
      </c>
      <c r="M70" s="14">
        <f>IF(M68+M69&gt;0,(M68+M69)*$E$17*-1,0)</f>
        <v/>
      </c>
      <c r="N70" s="14">
        <f>IF(N68+N69&gt;0,(N68+N69)*$E$17*-1,0)</f>
        <v/>
      </c>
      <c r="O70" s="14">
        <f>IF(O68+O69&gt;0,(O68+O69)*$E$17*-1,0)</f>
        <v/>
      </c>
      <c r="P70" s="14">
        <f>IF(P68+P69&gt;0,(P68+P69)*$E$17*-1,0)</f>
        <v/>
      </c>
      <c r="Q70" s="14">
        <f>IF(Q68+Q69&gt;0,(Q68+Q69)*$E$17*-1,0)</f>
        <v/>
      </c>
      <c r="R70" s="14">
        <f>IF(R68+R69&gt;0,(R68+R69)*$E$17*-1,0)</f>
        <v/>
      </c>
      <c r="S70" s="1" t="n"/>
    </row>
    <row r="71">
      <c r="A71" s="1" t="n"/>
      <c r="B71" s="1" t="n"/>
      <c r="C71" s="15" t="inlineStr">
        <is>
          <t>Levered FCF (LFCF)</t>
        </is>
      </c>
      <c r="D71" s="1" t="n"/>
      <c r="E71" s="1" t="n"/>
      <c r="F71" s="1" t="n"/>
      <c r="G71" s="1" t="n"/>
      <c r="H71" s="1" t="n"/>
      <c r="I71" s="27">
        <f>I68+I69+I70</f>
        <v/>
      </c>
      <c r="J71" s="27">
        <f>J68+J69+J70</f>
        <v/>
      </c>
      <c r="K71" s="27">
        <f>K68+K69+K70</f>
        <v/>
      </c>
      <c r="L71" s="27">
        <f>L68+L69+L70</f>
        <v/>
      </c>
      <c r="M71" s="27">
        <f>M68+M69+M70</f>
        <v/>
      </c>
      <c r="N71" s="27">
        <f>N68+N69+N70</f>
        <v/>
      </c>
      <c r="O71" s="27">
        <f>O68+O69+O70</f>
        <v/>
      </c>
      <c r="P71" s="27">
        <f>P68+P69+P70</f>
        <v/>
      </c>
      <c r="Q71" s="27">
        <f>Q68+Q69+Q70</f>
        <v/>
      </c>
      <c r="R71" s="27">
        <f>R68+R69+R70</f>
        <v/>
      </c>
      <c r="S71" s="1" t="n"/>
    </row>
    <row r="72">
      <c r="A72" s="1" t="n"/>
      <c r="B72" s="1" t="n"/>
      <c r="C72" s="1" t="n"/>
      <c r="D72" s="9" t="inlineStr">
        <is>
          <t>(-) Mandatory repayment</t>
        </is>
      </c>
      <c r="E72" s="1" t="n"/>
      <c r="F72" s="1" t="n"/>
      <c r="G72" s="1" t="n"/>
      <c r="H72" s="1" t="n"/>
      <c r="I72" s="14">
        <f>I96</f>
        <v/>
      </c>
      <c r="J72" s="14">
        <f>J96</f>
        <v/>
      </c>
      <c r="K72" s="14">
        <f>K96</f>
        <v/>
      </c>
      <c r="L72" s="14">
        <f>L96</f>
        <v/>
      </c>
      <c r="M72" s="14">
        <f>M96</f>
        <v/>
      </c>
      <c r="N72" s="14">
        <f>N96</f>
        <v/>
      </c>
      <c r="O72" s="14">
        <f>O96</f>
        <v/>
      </c>
      <c r="P72" s="14">
        <f>P96</f>
        <v/>
      </c>
      <c r="Q72" s="14">
        <f>Q96</f>
        <v/>
      </c>
      <c r="R72" s="14">
        <f>R96</f>
        <v/>
      </c>
      <c r="S72" s="1" t="n"/>
    </row>
    <row r="73">
      <c r="A73" s="1" t="n"/>
      <c r="B73" s="1" t="n"/>
      <c r="C73" s="15" t="inlineStr">
        <is>
          <t>Cash available for sweep</t>
        </is>
      </c>
      <c r="D73" s="1" t="n"/>
      <c r="E73" s="1" t="n"/>
      <c r="F73" s="1" t="n"/>
      <c r="G73" s="1" t="n"/>
      <c r="H73" s="1" t="n"/>
      <c r="I73" s="27">
        <f>I71+I72</f>
        <v/>
      </c>
      <c r="J73" s="27">
        <f>J71+J72</f>
        <v/>
      </c>
      <c r="K73" s="27">
        <f>K71+K72</f>
        <v/>
      </c>
      <c r="L73" s="27">
        <f>L71+L72</f>
        <v/>
      </c>
      <c r="M73" s="27">
        <f>M71+M72</f>
        <v/>
      </c>
      <c r="N73" s="27">
        <f>N71+N72</f>
        <v/>
      </c>
      <c r="O73" s="27">
        <f>O71+O72</f>
        <v/>
      </c>
      <c r="P73" s="27">
        <f>P71+P72</f>
        <v/>
      </c>
      <c r="Q73" s="27">
        <f>Q71+Q72</f>
        <v/>
      </c>
      <c r="R73" s="27">
        <f>R71+R72</f>
        <v/>
      </c>
      <c r="S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>
      <c r="A75" s="1" t="n"/>
      <c r="B75" s="5" t="inlineStr">
        <is>
          <t>SECTION 5 — DEBT SCHEDULE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>
      <c r="A77" s="1" t="n"/>
      <c r="B77" s="1" t="n"/>
      <c r="C77" s="20" t="inlineStr"/>
      <c r="D77" s="21" t="n"/>
      <c r="E77" s="21" t="n"/>
      <c r="F77" s="21" t="n"/>
      <c r="G77" s="21" t="n"/>
      <c r="H77" s="20" t="inlineStr">
        <is>
          <t>At Close</t>
        </is>
      </c>
      <c r="I77" s="20" t="inlineStr">
        <is>
          <t>FY2025</t>
        </is>
      </c>
      <c r="J77" s="20" t="inlineStr">
        <is>
          <t>FY2026</t>
        </is>
      </c>
      <c r="K77" s="20" t="inlineStr">
        <is>
          <t>FY2027</t>
        </is>
      </c>
      <c r="L77" s="20" t="inlineStr">
        <is>
          <t>FY2028</t>
        </is>
      </c>
      <c r="M77" s="20" t="inlineStr">
        <is>
          <t>FY2029</t>
        </is>
      </c>
      <c r="N77" s="20" t="inlineStr">
        <is>
          <t>FY2030</t>
        </is>
      </c>
      <c r="O77" s="20" t="inlineStr">
        <is>
          <t>FY2031</t>
        </is>
      </c>
      <c r="P77" s="20" t="inlineStr">
        <is>
          <t>FY2032</t>
        </is>
      </c>
      <c r="Q77" s="20" t="inlineStr">
        <is>
          <t>FY2033</t>
        </is>
      </c>
      <c r="R77" s="20" t="inlineStr">
        <is>
          <t>FY2034</t>
        </is>
      </c>
      <c r="S77" s="2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1" t="n"/>
      <c r="B79" s="1" t="n"/>
      <c r="C79" s="8" t="inlineStr">
        <is>
          <t>SUPER-SENIOR RESCUE TRANCHE</t>
        </is>
      </c>
      <c r="D79" s="1" t="n"/>
      <c r="E79" s="1" t="n"/>
      <c r="F79" s="1" t="n"/>
      <c r="G79" s="1" t="n"/>
      <c r="H79" s="1" t="n"/>
      <c r="I79" s="1" t="n"/>
      <c r="J79" s="1" t="n"/>
      <c r="K79" s="1" t="n"/>
      <c r="L79" s="9" t="inlineStr">
        <is>
          <t>Rate:</t>
        </is>
      </c>
      <c r="M79" s="13">
        <f>L12</f>
        <v/>
      </c>
      <c r="N79" s="1" t="n"/>
      <c r="O79" s="1" t="n"/>
      <c r="P79" s="1" t="n"/>
      <c r="Q79" s="1" t="n"/>
      <c r="R79" s="1" t="n"/>
      <c r="S79" s="1" t="n"/>
    </row>
    <row r="80">
      <c r="A80" s="1" t="n"/>
      <c r="B80" s="1" t="n"/>
      <c r="C80" s="1" t="n"/>
      <c r="D80" s="9" t="inlineStr">
        <is>
          <t>Beginning balance</t>
        </is>
      </c>
      <c r="E80" s="1" t="n"/>
      <c r="F80" s="1" t="n"/>
      <c r="G80" s="1" t="n"/>
      <c r="H80" s="14">
        <f>K25</f>
        <v/>
      </c>
      <c r="I80" s="14">
        <f>H84</f>
        <v/>
      </c>
      <c r="J80" s="14">
        <f>I84</f>
        <v/>
      </c>
      <c r="K80" s="14">
        <f>J84</f>
        <v/>
      </c>
      <c r="L80" s="14">
        <f>K84</f>
        <v/>
      </c>
      <c r="M80" s="14">
        <f>L84</f>
        <v/>
      </c>
      <c r="N80" s="14">
        <f>M84</f>
        <v/>
      </c>
      <c r="O80" s="14">
        <f>N84</f>
        <v/>
      </c>
      <c r="P80" s="14">
        <f>O84</f>
        <v/>
      </c>
      <c r="Q80" s="14">
        <f>P84</f>
        <v/>
      </c>
      <c r="R80" s="14">
        <f>Q84</f>
        <v/>
      </c>
      <c r="S80" s="1" t="n"/>
    </row>
    <row r="81">
      <c r="A81" s="1" t="n"/>
      <c r="B81" s="1" t="n"/>
      <c r="C81" s="1" t="n"/>
      <c r="D81" s="9" t="inlineStr">
        <is>
          <t>Mandatory repayment</t>
        </is>
      </c>
      <c r="E81" s="1" t="n"/>
      <c r="F81" s="1" t="n"/>
      <c r="G81" s="1" t="n"/>
      <c r="H81" s="1" t="n"/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" t="n"/>
    </row>
    <row r="82">
      <c r="A82" s="1" t="n"/>
      <c r="B82" s="1" t="n"/>
      <c r="C82" s="1" t="n"/>
      <c r="D82" s="9" t="inlineStr">
        <is>
          <t>Sweep repayment</t>
        </is>
      </c>
      <c r="E82" s="1" t="n"/>
      <c r="F82" s="1" t="n"/>
      <c r="G82" s="1" t="n"/>
      <c r="H82" s="1" t="n"/>
      <c r="I82" s="14">
        <f>MIN(I80+I81,MAX(I73,0))*-1</f>
        <v/>
      </c>
      <c r="J82" s="14">
        <f>MIN(J80+J81,MAX(J73,0))*-1</f>
        <v/>
      </c>
      <c r="K82" s="14">
        <f>MIN(K80+K81,MAX(K73,0))*-1</f>
        <v/>
      </c>
      <c r="L82" s="14">
        <f>MIN(L80+L81,MAX(L73,0))*-1</f>
        <v/>
      </c>
      <c r="M82" s="14">
        <f>MIN(M80+M81,MAX(M73,0))*-1</f>
        <v/>
      </c>
      <c r="N82" s="14">
        <f>MIN(N80+N81,MAX(N73,0))*-1</f>
        <v/>
      </c>
      <c r="O82" s="14">
        <f>MIN(O80+O81,MAX(O73,0))*-1</f>
        <v/>
      </c>
      <c r="P82" s="14">
        <f>MIN(P80+P81,MAX(P73,0))*-1</f>
        <v/>
      </c>
      <c r="Q82" s="14">
        <f>MIN(Q80+Q81,MAX(Q73,0))*-1</f>
        <v/>
      </c>
      <c r="R82" s="14">
        <f>MIN(R80+R81,MAX(R73,0))*-1</f>
        <v/>
      </c>
      <c r="S82" s="1" t="n"/>
    </row>
    <row r="83">
      <c r="A83" s="1" t="n"/>
      <c r="B83" s="1" t="n"/>
      <c r="C83" s="1" t="n"/>
      <c r="D83" s="9" t="inlineStr">
        <is>
          <t>PIK accrual</t>
        </is>
      </c>
      <c r="E83" s="1" t="n"/>
      <c r="F83" s="1" t="n"/>
      <c r="G83" s="1" t="n"/>
      <c r="H83" s="1" t="n"/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" t="n"/>
    </row>
    <row r="84">
      <c r="A84" s="1" t="n"/>
      <c r="B84" s="1" t="n"/>
      <c r="C84" s="1" t="n"/>
      <c r="D84" s="15" t="inlineStr">
        <is>
          <t>Ending balance</t>
        </is>
      </c>
      <c r="E84" s="1" t="n"/>
      <c r="F84" s="1" t="n"/>
      <c r="G84" s="1" t="n"/>
      <c r="H84" s="27">
        <f>K25</f>
        <v/>
      </c>
      <c r="I84" s="27">
        <f>SUM(I80:I83)</f>
        <v/>
      </c>
      <c r="J84" s="27">
        <f>SUM(J80:J83)</f>
        <v/>
      </c>
      <c r="K84" s="27">
        <f>SUM(K80:K83)</f>
        <v/>
      </c>
      <c r="L84" s="27">
        <f>SUM(L80:L83)</f>
        <v/>
      </c>
      <c r="M84" s="27">
        <f>SUM(M80:M83)</f>
        <v/>
      </c>
      <c r="N84" s="27">
        <f>SUM(N80:N83)</f>
        <v/>
      </c>
      <c r="O84" s="27">
        <f>SUM(O80:O83)</f>
        <v/>
      </c>
      <c r="P84" s="27">
        <f>SUM(P80:P83)</f>
        <v/>
      </c>
      <c r="Q84" s="27">
        <f>SUM(Q80:Q83)</f>
        <v/>
      </c>
      <c r="R84" s="27">
        <f>SUM(R80:R83)</f>
        <v/>
      </c>
      <c r="S84" s="1" t="n"/>
    </row>
    <row r="85">
      <c r="A85" s="1" t="n"/>
      <c r="B85" s="1" t="n"/>
      <c r="C85" s="1" t="n"/>
      <c r="D85" s="9" t="inlineStr">
        <is>
          <t>Cash interest</t>
        </is>
      </c>
      <c r="E85" s="1" t="n"/>
      <c r="F85" s="1" t="n"/>
      <c r="G85" s="1" t="n"/>
      <c r="H85" s="1" t="n"/>
      <c r="I85" s="14">
        <f>$M$79*I80</f>
        <v/>
      </c>
      <c r="J85" s="14">
        <f>$M$79*J80</f>
        <v/>
      </c>
      <c r="K85" s="14">
        <f>$M$79*K80</f>
        <v/>
      </c>
      <c r="L85" s="14">
        <f>$M$79*L80</f>
        <v/>
      </c>
      <c r="M85" s="14">
        <f>$M$79*M80</f>
        <v/>
      </c>
      <c r="N85" s="14">
        <f>$M$79*N80</f>
        <v/>
      </c>
      <c r="O85" s="14">
        <f>$M$79*O80</f>
        <v/>
      </c>
      <c r="P85" s="14">
        <f>$M$79*P80</f>
        <v/>
      </c>
      <c r="Q85" s="14">
        <f>$M$79*Q80</f>
        <v/>
      </c>
      <c r="R85" s="14">
        <f>$M$79*R80</f>
        <v/>
      </c>
      <c r="S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>
      <c r="A88" s="1" t="n"/>
      <c r="B88" s="1" t="n"/>
      <c r="C88" s="8" t="inlineStr">
        <is>
          <t>RETAINED SENIOR DEBT</t>
        </is>
      </c>
      <c r="D88" s="1" t="n"/>
      <c r="E88" s="1" t="n"/>
      <c r="F88" s="1" t="n"/>
      <c r="G88" s="1" t="n"/>
      <c r="H88" s="1" t="n"/>
      <c r="I88" s="1" t="n"/>
      <c r="J88" s="1" t="n"/>
      <c r="K88" s="1" t="n"/>
      <c r="L88" s="9" t="inlineStr">
        <is>
          <t>Rate:</t>
        </is>
      </c>
      <c r="M88" s="13">
        <f>L13</f>
        <v/>
      </c>
      <c r="N88" s="1" t="n"/>
      <c r="O88" s="1" t="n"/>
      <c r="P88" s="1" t="n"/>
      <c r="Q88" s="1" t="n"/>
      <c r="R88" s="1" t="n"/>
      <c r="S88" s="1" t="n"/>
    </row>
    <row r="89">
      <c r="A89" s="1" t="n"/>
      <c r="B89" s="1" t="n"/>
      <c r="C89" s="1" t="n"/>
      <c r="D89" s="9" t="inlineStr">
        <is>
          <t>Beginning balance</t>
        </is>
      </c>
      <c r="E89" s="1" t="n"/>
      <c r="F89" s="1" t="n"/>
      <c r="G89" s="1" t="n"/>
      <c r="H89" s="14">
        <f>K26</f>
        <v/>
      </c>
      <c r="I89" s="14">
        <f>H93</f>
        <v/>
      </c>
      <c r="J89" s="14">
        <f>I93</f>
        <v/>
      </c>
      <c r="K89" s="14">
        <f>J93</f>
        <v/>
      </c>
      <c r="L89" s="14">
        <f>K93</f>
        <v/>
      </c>
      <c r="M89" s="14">
        <f>L93</f>
        <v/>
      </c>
      <c r="N89" s="14">
        <f>M93</f>
        <v/>
      </c>
      <c r="O89" s="14">
        <f>N93</f>
        <v/>
      </c>
      <c r="P89" s="14">
        <f>O93</f>
        <v/>
      </c>
      <c r="Q89" s="14">
        <f>P93</f>
        <v/>
      </c>
      <c r="R89" s="14">
        <f>Q93</f>
        <v/>
      </c>
      <c r="S89" s="1" t="n"/>
    </row>
    <row r="90">
      <c r="A90" s="1" t="n"/>
      <c r="B90" s="1" t="n"/>
      <c r="C90" s="1" t="n"/>
      <c r="D90" s="9" t="inlineStr">
        <is>
          <t>Mandatory repayment (1/7 p.a.)</t>
        </is>
      </c>
      <c r="E90" s="1" t="n"/>
      <c r="F90" s="1" t="n"/>
      <c r="G90" s="1" t="n"/>
      <c r="H90" s="1" t="n"/>
      <c r="I90" s="14">
        <f>IF(I89&gt;0,MIN(I89,I89/$L$14)*-1,0)</f>
        <v/>
      </c>
      <c r="J90" s="14">
        <f>IF(J89&gt;0,MIN(J89,J89/$L$14)*-1,0)</f>
        <v/>
      </c>
      <c r="K90" s="14">
        <f>IF(K89&gt;0,MIN(K89,K89/$L$14)*-1,0)</f>
        <v/>
      </c>
      <c r="L90" s="14">
        <f>IF(L89&gt;0,MIN(L89,L89/$L$14)*-1,0)</f>
        <v/>
      </c>
      <c r="M90" s="14">
        <f>IF(M89&gt;0,MIN(M89,M89/$L$14)*-1,0)</f>
        <v/>
      </c>
      <c r="N90" s="14">
        <f>IF(N89&gt;0,MIN(N89,N89/$L$14)*-1,0)</f>
        <v/>
      </c>
      <c r="O90" s="14">
        <f>IF(O89&gt;0,MIN(O89,O89/$L$14)*-1,0)</f>
        <v/>
      </c>
      <c r="P90" s="14">
        <f>IF(P89&gt;0,MIN(P89,P89/$L$14)*-1,0)</f>
        <v/>
      </c>
      <c r="Q90" s="14">
        <f>IF(Q89&gt;0,MIN(Q89,Q89/$L$14)*-1,0)</f>
        <v/>
      </c>
      <c r="R90" s="14">
        <f>IF(R89&gt;0,MIN(R89,R89/$L$14)*-1,0)</f>
        <v/>
      </c>
      <c r="S90" s="1" t="n"/>
    </row>
    <row r="91">
      <c r="A91" s="1" t="n"/>
      <c r="B91" s="1" t="n"/>
      <c r="C91" s="1" t="n"/>
      <c r="D91" s="9" t="inlineStr">
        <is>
          <t>Sweep repayment</t>
        </is>
      </c>
      <c r="E91" s="1" t="n"/>
      <c r="F91" s="1" t="n"/>
      <c r="G91" s="1" t="n"/>
      <c r="H91" s="1" t="n"/>
      <c r="I91" s="14">
        <f>MIN(I89+I90,MAX(I73+I82+I90,0))*-1</f>
        <v/>
      </c>
      <c r="J91" s="14">
        <f>MIN(J89+J90,MAX(J73+J82+J90,0))*-1</f>
        <v/>
      </c>
      <c r="K91" s="14">
        <f>MIN(K89+K90,MAX(K73+K82+K90,0))*-1</f>
        <v/>
      </c>
      <c r="L91" s="14">
        <f>MIN(L89+L90,MAX(L73+L82+L90,0))*-1</f>
        <v/>
      </c>
      <c r="M91" s="14">
        <f>MIN(M89+M90,MAX(M73+M82+M90,0))*-1</f>
        <v/>
      </c>
      <c r="N91" s="14">
        <f>MIN(N89+N90,MAX(N73+N82+N90,0))*-1</f>
        <v/>
      </c>
      <c r="O91" s="14">
        <f>MIN(O89+O90,MAX(O73+O82+O90,0))*-1</f>
        <v/>
      </c>
      <c r="P91" s="14">
        <f>MIN(P89+P90,MAX(P73+P82+P90,0))*-1</f>
        <v/>
      </c>
      <c r="Q91" s="14">
        <f>MIN(Q89+Q90,MAX(Q73+Q82+Q90,0))*-1</f>
        <v/>
      </c>
      <c r="R91" s="14">
        <f>MIN(R89+R90,MAX(R73+R82+R90,0))*-1</f>
        <v/>
      </c>
      <c r="S91" s="1" t="n"/>
    </row>
    <row r="92">
      <c r="A92" s="1" t="n"/>
      <c r="B92" s="1" t="n"/>
      <c r="C92" s="1" t="n"/>
      <c r="D92" s="9" t="inlineStr">
        <is>
          <t>PIK accrual</t>
        </is>
      </c>
      <c r="E92" s="1" t="n"/>
      <c r="F92" s="1" t="n"/>
      <c r="G92" s="1" t="n"/>
      <c r="H92" s="1" t="n"/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" t="n"/>
    </row>
    <row r="93">
      <c r="A93" s="1" t="n"/>
      <c r="B93" s="1" t="n"/>
      <c r="C93" s="1" t="n"/>
      <c r="D93" s="15" t="inlineStr">
        <is>
          <t>Ending balance</t>
        </is>
      </c>
      <c r="E93" s="1" t="n"/>
      <c r="F93" s="1" t="n"/>
      <c r="G93" s="1" t="n"/>
      <c r="H93" s="27">
        <f>K26</f>
        <v/>
      </c>
      <c r="I93" s="27">
        <f>SUM(I89:I92)</f>
        <v/>
      </c>
      <c r="J93" s="27">
        <f>SUM(J89:J92)</f>
        <v/>
      </c>
      <c r="K93" s="27">
        <f>SUM(K89:K92)</f>
        <v/>
      </c>
      <c r="L93" s="27">
        <f>SUM(L89:L92)</f>
        <v/>
      </c>
      <c r="M93" s="27">
        <f>SUM(M89:M92)</f>
        <v/>
      </c>
      <c r="N93" s="27">
        <f>SUM(N89:N92)</f>
        <v/>
      </c>
      <c r="O93" s="27">
        <f>SUM(O89:O92)</f>
        <v/>
      </c>
      <c r="P93" s="27">
        <f>SUM(P89:P92)</f>
        <v/>
      </c>
      <c r="Q93" s="27">
        <f>SUM(Q89:Q92)</f>
        <v/>
      </c>
      <c r="R93" s="27">
        <f>SUM(R89:R92)</f>
        <v/>
      </c>
      <c r="S93" s="1" t="n"/>
    </row>
    <row r="94">
      <c r="A94" s="1" t="n"/>
      <c r="B94" s="1" t="n"/>
      <c r="C94" s="1" t="n"/>
      <c r="D94" s="9" t="inlineStr">
        <is>
          <t>Cash interest</t>
        </is>
      </c>
      <c r="E94" s="1" t="n"/>
      <c r="F94" s="1" t="n"/>
      <c r="G94" s="1" t="n"/>
      <c r="H94" s="1" t="n"/>
      <c r="I94" s="14">
        <f>$M$88*I89</f>
        <v/>
      </c>
      <c r="J94" s="14">
        <f>$M$88*J89</f>
        <v/>
      </c>
      <c r="K94" s="14">
        <f>$M$88*K89</f>
        <v/>
      </c>
      <c r="L94" s="14">
        <f>$M$88*L89</f>
        <v/>
      </c>
      <c r="M94" s="14">
        <f>$M$88*M89</f>
        <v/>
      </c>
      <c r="N94" s="14">
        <f>$M$88*N89</f>
        <v/>
      </c>
      <c r="O94" s="14">
        <f>$M$88*O89</f>
        <v/>
      </c>
      <c r="P94" s="14">
        <f>$M$88*P89</f>
        <v/>
      </c>
      <c r="Q94" s="14">
        <f>$M$88*Q89</f>
        <v/>
      </c>
      <c r="R94" s="14">
        <f>$M$88*R89</f>
        <v/>
      </c>
      <c r="S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1" t="n"/>
      <c r="B96" s="1" t="n"/>
      <c r="C96" s="1" t="n"/>
      <c r="D96" s="9" t="inlineStr">
        <is>
          <t>Total mandatory repayment</t>
        </is>
      </c>
      <c r="E96" s="1" t="n"/>
      <c r="F96" s="1" t="n"/>
      <c r="G96" s="1" t="n"/>
      <c r="H96" s="1" t="n"/>
      <c r="I96" s="14">
        <f>I81+I90</f>
        <v/>
      </c>
      <c r="J96" s="14">
        <f>J81+J90</f>
        <v/>
      </c>
      <c r="K96" s="14">
        <f>K81+K90</f>
        <v/>
      </c>
      <c r="L96" s="14">
        <f>L81+L90</f>
        <v/>
      </c>
      <c r="M96" s="14">
        <f>M81+M90</f>
        <v/>
      </c>
      <c r="N96" s="14">
        <f>N81+N90</f>
        <v/>
      </c>
      <c r="O96" s="14">
        <f>O81+O90</f>
        <v/>
      </c>
      <c r="P96" s="14">
        <f>P81+P90</f>
        <v/>
      </c>
      <c r="Q96" s="14">
        <f>Q81+Q90</f>
        <v/>
      </c>
      <c r="R96" s="14">
        <f>R81+R90</f>
        <v/>
      </c>
      <c r="S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>
      <c r="A99" s="1" t="n"/>
      <c r="B99" s="1" t="n"/>
      <c r="C99" s="8" t="inlineStr">
        <is>
          <t>DEBT SUMMARY</t>
        </is>
      </c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>
      <c r="A100" s="1" t="n"/>
      <c r="B100" s="1" t="n"/>
      <c r="C100" s="1" t="n"/>
      <c r="D100" s="15" t="inlineStr">
        <is>
          <t>Total debt outstanding</t>
        </is>
      </c>
      <c r="E100" s="1" t="n"/>
      <c r="F100" s="1" t="n"/>
      <c r="G100" s="1" t="n"/>
      <c r="H100" s="27">
        <f>H84+H93</f>
        <v/>
      </c>
      <c r="I100" s="27">
        <f>I84+I93</f>
        <v/>
      </c>
      <c r="J100" s="27">
        <f>J84+J93</f>
        <v/>
      </c>
      <c r="K100" s="27">
        <f>K84+K93</f>
        <v/>
      </c>
      <c r="L100" s="27">
        <f>L84+L93</f>
        <v/>
      </c>
      <c r="M100" s="27">
        <f>M84+M93</f>
        <v/>
      </c>
      <c r="N100" s="27">
        <f>N84+N93</f>
        <v/>
      </c>
      <c r="O100" s="27">
        <f>O84+O93</f>
        <v/>
      </c>
      <c r="P100" s="27">
        <f>P84+P93</f>
        <v/>
      </c>
      <c r="Q100" s="27">
        <f>Q84+Q93</f>
        <v/>
      </c>
      <c r="R100" s="27">
        <f>R84+R93</f>
        <v/>
      </c>
      <c r="S100" s="1" t="n"/>
    </row>
    <row r="101">
      <c r="A101" s="1" t="n"/>
      <c r="B101" s="1" t="n"/>
      <c r="C101" s="1" t="n"/>
      <c r="D101" s="9" t="inlineStr">
        <is>
          <t>Total cash interest</t>
        </is>
      </c>
      <c r="E101" s="1" t="n"/>
      <c r="F101" s="1" t="n"/>
      <c r="G101" s="1" t="n"/>
      <c r="H101" s="1" t="n"/>
      <c r="I101" s="14">
        <f>I85+I94</f>
        <v/>
      </c>
      <c r="J101" s="14">
        <f>J85+J94</f>
        <v/>
      </c>
      <c r="K101" s="14">
        <f>K85+K94</f>
        <v/>
      </c>
      <c r="L101" s="14">
        <f>L85+L94</f>
        <v/>
      </c>
      <c r="M101" s="14">
        <f>M85+M94</f>
        <v/>
      </c>
      <c r="N101" s="14">
        <f>N85+N94</f>
        <v/>
      </c>
      <c r="O101" s="14">
        <f>O85+O94</f>
        <v/>
      </c>
      <c r="P101" s="14">
        <f>P85+P94</f>
        <v/>
      </c>
      <c r="Q101" s="14">
        <f>Q85+Q94</f>
        <v/>
      </c>
      <c r="R101" s="14">
        <f>R85+R94</f>
        <v/>
      </c>
      <c r="S101" s="1" t="n"/>
    </row>
    <row r="102">
      <c r="A102" s="1" t="n"/>
      <c r="B102" s="1" t="n"/>
      <c r="C102" s="1" t="n"/>
      <c r="D102" s="9" t="inlineStr">
        <is>
          <t>Total mandatory repayment</t>
        </is>
      </c>
      <c r="E102" s="1" t="n"/>
      <c r="F102" s="1" t="n"/>
      <c r="G102" s="1" t="n"/>
      <c r="H102" s="1" t="n"/>
      <c r="I102" s="14">
        <f>I96</f>
        <v/>
      </c>
      <c r="J102" s="14">
        <f>J96</f>
        <v/>
      </c>
      <c r="K102" s="14">
        <f>K96</f>
        <v/>
      </c>
      <c r="L102" s="14">
        <f>L96</f>
        <v/>
      </c>
      <c r="M102" s="14">
        <f>M96</f>
        <v/>
      </c>
      <c r="N102" s="14">
        <f>N96</f>
        <v/>
      </c>
      <c r="O102" s="14">
        <f>O96</f>
        <v/>
      </c>
      <c r="P102" s="14">
        <f>P96</f>
        <v/>
      </c>
      <c r="Q102" s="14">
        <f>Q96</f>
        <v/>
      </c>
      <c r="R102" s="14">
        <f>R96</f>
        <v/>
      </c>
      <c r="S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>
      <c r="A105" s="1" t="n"/>
      <c r="B105" s="5" t="inlineStr">
        <is>
          <t>SECTION 6 — CREDIT METRICS &amp; SHARIAH COMPLIANCE</t>
        </is>
      </c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>
      <c r="A107" s="1" t="n"/>
      <c r="B107" s="1" t="n"/>
      <c r="C107" s="20" t="inlineStr"/>
      <c r="D107" s="21" t="n"/>
      <c r="E107" s="21" t="n"/>
      <c r="F107" s="21" t="n"/>
      <c r="G107" s="21" t="n"/>
      <c r="H107" s="20" t="inlineStr">
        <is>
          <t>At Close</t>
        </is>
      </c>
      <c r="I107" s="20" t="inlineStr">
        <is>
          <t>FY2025</t>
        </is>
      </c>
      <c r="J107" s="20" t="inlineStr">
        <is>
          <t>FY2026</t>
        </is>
      </c>
      <c r="K107" s="20" t="inlineStr">
        <is>
          <t>FY2027</t>
        </is>
      </c>
      <c r="L107" s="20" t="inlineStr">
        <is>
          <t>FY2028</t>
        </is>
      </c>
      <c r="M107" s="20" t="inlineStr">
        <is>
          <t>FY2029</t>
        </is>
      </c>
      <c r="N107" s="20" t="inlineStr">
        <is>
          <t>FY2030</t>
        </is>
      </c>
      <c r="O107" s="20" t="inlineStr">
        <is>
          <t>FY2031</t>
        </is>
      </c>
      <c r="P107" s="20" t="inlineStr">
        <is>
          <t>FY2032</t>
        </is>
      </c>
      <c r="Q107" s="20" t="inlineStr">
        <is>
          <t>FY2033</t>
        </is>
      </c>
      <c r="R107" s="20" t="inlineStr">
        <is>
          <t>FY2034</t>
        </is>
      </c>
      <c r="S107" s="2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>
      <c r="A109" s="1" t="n"/>
      <c r="B109" s="1" t="n"/>
      <c r="C109" s="15" t="inlineStr">
        <is>
          <t>Total Debt</t>
        </is>
      </c>
      <c r="D109" s="1" t="n"/>
      <c r="E109" s="1" t="n"/>
      <c r="F109" s="1" t="n"/>
      <c r="G109" s="1" t="n"/>
      <c r="H109" s="27">
        <f>H100</f>
        <v/>
      </c>
      <c r="I109" s="27">
        <f>I100</f>
        <v/>
      </c>
      <c r="J109" s="27">
        <f>J100</f>
        <v/>
      </c>
      <c r="K109" s="27">
        <f>K100</f>
        <v/>
      </c>
      <c r="L109" s="27">
        <f>L100</f>
        <v/>
      </c>
      <c r="M109" s="27">
        <f>M100</f>
        <v/>
      </c>
      <c r="N109" s="27">
        <f>N100</f>
        <v/>
      </c>
      <c r="O109" s="27">
        <f>O100</f>
        <v/>
      </c>
      <c r="P109" s="27">
        <f>P100</f>
        <v/>
      </c>
      <c r="Q109" s="27">
        <f>Q100</f>
        <v/>
      </c>
      <c r="R109" s="27">
        <f>R100</f>
        <v/>
      </c>
      <c r="S109" s="1" t="n"/>
    </row>
    <row r="110">
      <c r="A110" s="1" t="n"/>
      <c r="B110" s="1" t="n"/>
      <c r="C110" s="9" t="inlineStr">
        <is>
          <t>EBITDA</t>
        </is>
      </c>
      <c r="D110" s="1" t="n"/>
      <c r="E110" s="1" t="n"/>
      <c r="F110" s="1" t="n"/>
      <c r="G110" s="1" t="n"/>
      <c r="H110" s="1" t="n"/>
      <c r="I110" s="14">
        <f>I41</f>
        <v/>
      </c>
      <c r="J110" s="14">
        <f>J41</f>
        <v/>
      </c>
      <c r="K110" s="14">
        <f>K41</f>
        <v/>
      </c>
      <c r="L110" s="14">
        <f>L41</f>
        <v/>
      </c>
      <c r="M110" s="14">
        <f>M41</f>
        <v/>
      </c>
      <c r="N110" s="14">
        <f>N41</f>
        <v/>
      </c>
      <c r="O110" s="14">
        <f>O41</f>
        <v/>
      </c>
      <c r="P110" s="14">
        <f>P41</f>
        <v/>
      </c>
      <c r="Q110" s="14">
        <f>Q41</f>
        <v/>
      </c>
      <c r="R110" s="14">
        <f>R41</f>
        <v/>
      </c>
      <c r="S110" s="1" t="n"/>
    </row>
    <row r="111">
      <c r="A111" s="1" t="n"/>
      <c r="B111" s="1" t="n"/>
      <c r="C111" s="15" t="inlineStr">
        <is>
          <t>Leverage (Debt/EBITDA)</t>
        </is>
      </c>
      <c r="D111" s="1" t="n"/>
      <c r="E111" s="1" t="n"/>
      <c r="F111" s="1" t="n"/>
      <c r="G111" s="1" t="n"/>
      <c r="H111" s="28">
        <f>IFERROR(H109/I110,"nm")</f>
        <v/>
      </c>
      <c r="I111" s="28">
        <f>IFERROR(I109/I110,"nm")</f>
        <v/>
      </c>
      <c r="J111" s="28">
        <f>IFERROR(J109/J110,"nm")</f>
        <v/>
      </c>
      <c r="K111" s="28">
        <f>IFERROR(K109/K110,"nm")</f>
        <v/>
      </c>
      <c r="L111" s="28">
        <f>IFERROR(L109/L110,"nm")</f>
        <v/>
      </c>
      <c r="M111" s="28">
        <f>IFERROR(M109/M110,"nm")</f>
        <v/>
      </c>
      <c r="N111" s="28">
        <f>IFERROR(N109/N110,"nm")</f>
        <v/>
      </c>
      <c r="O111" s="28">
        <f>IFERROR(O109/O110,"nm")</f>
        <v/>
      </c>
      <c r="P111" s="28">
        <f>IFERROR(P109/P110,"nm")</f>
        <v/>
      </c>
      <c r="Q111" s="28">
        <f>IFERROR(Q109/Q110,"nm")</f>
        <v/>
      </c>
      <c r="R111" s="28">
        <f>IFERROR(R109/R110,"nm")</f>
        <v/>
      </c>
      <c r="S111" s="1" t="n"/>
    </row>
    <row r="112">
      <c r="A112" s="1" t="n"/>
      <c r="B112" s="1" t="n"/>
      <c r="C112" s="9" t="inlineStr">
        <is>
          <t>Interest Coverage (EBITDA/Int)</t>
        </is>
      </c>
      <c r="D112" s="1" t="n"/>
      <c r="E112" s="1" t="n"/>
      <c r="F112" s="1" t="n"/>
      <c r="G112" s="1" t="n"/>
      <c r="H112" s="1" t="n"/>
      <c r="I112" s="29">
        <f>IFERROR(I110/I101,"nm")</f>
        <v/>
      </c>
      <c r="J112" s="29">
        <f>IFERROR(J110/J101,"nm")</f>
        <v/>
      </c>
      <c r="K112" s="29">
        <f>IFERROR(K110/K101,"nm")</f>
        <v/>
      </c>
      <c r="L112" s="29">
        <f>IFERROR(L110/L101,"nm")</f>
        <v/>
      </c>
      <c r="M112" s="29">
        <f>IFERROR(M110/M101,"nm")</f>
        <v/>
      </c>
      <c r="N112" s="29">
        <f>IFERROR(N110/N101,"nm")</f>
        <v/>
      </c>
      <c r="O112" s="29">
        <f>IFERROR(O110/O101,"nm")</f>
        <v/>
      </c>
      <c r="P112" s="29">
        <f>IFERROR(P110/P101,"nm")</f>
        <v/>
      </c>
      <c r="Q112" s="29">
        <f>IFERROR(Q110/Q101,"nm")</f>
        <v/>
      </c>
      <c r="R112" s="29">
        <f>IFERROR(R110/R101,"nm")</f>
        <v/>
      </c>
      <c r="S112" s="1" t="n"/>
    </row>
    <row r="113">
      <c r="A113" s="1" t="n"/>
      <c r="B113" s="1" t="n"/>
      <c r="C113" s="9" t="inlineStr">
        <is>
          <t>DSCR (EBITDA/Debt Service)</t>
        </is>
      </c>
      <c r="D113" s="1" t="n"/>
      <c r="E113" s="1" t="n"/>
      <c r="F113" s="1" t="n"/>
      <c r="G113" s="1" t="n"/>
      <c r="H113" s="1" t="n"/>
      <c r="I113" s="29">
        <f>IFERROR(I110/(I101+ABS(I102)),"nm")</f>
        <v/>
      </c>
      <c r="J113" s="29">
        <f>IFERROR(J110/(J101+ABS(J102)),"nm")</f>
        <v/>
      </c>
      <c r="K113" s="29">
        <f>IFERROR(K110/(K101+ABS(K102)),"nm")</f>
        <v/>
      </c>
      <c r="L113" s="29">
        <f>IFERROR(L110/(L101+ABS(L102)),"nm")</f>
        <v/>
      </c>
      <c r="M113" s="29">
        <f>IFERROR(M110/(M101+ABS(M102)),"nm")</f>
        <v/>
      </c>
      <c r="N113" s="29">
        <f>IFERROR(N110/(N101+ABS(N102)),"nm")</f>
        <v/>
      </c>
      <c r="O113" s="29">
        <f>IFERROR(O110/(O101+ABS(O102)),"nm")</f>
        <v/>
      </c>
      <c r="P113" s="29">
        <f>IFERROR(P110/(P101+ABS(P102)),"nm")</f>
        <v/>
      </c>
      <c r="Q113" s="29">
        <f>IFERROR(Q110/(Q101+ABS(Q102)),"nm")</f>
        <v/>
      </c>
      <c r="R113" s="29">
        <f>IFERROR(R110/(R101+ABS(R102)),"nm")</f>
        <v/>
      </c>
      <c r="S113" s="1" t="n"/>
    </row>
    <row r="114">
      <c r="A114" s="1" t="n"/>
      <c r="B114" s="1" t="n"/>
      <c r="C114" s="9" t="inlineStr">
        <is>
          <t>Debt / Total Assets (22,803)</t>
        </is>
      </c>
      <c r="D114" s="1" t="n"/>
      <c r="E114" s="1" t="n"/>
      <c r="F114" s="1" t="n"/>
      <c r="G114" s="1" t="n"/>
      <c r="H114" s="1" t="n"/>
      <c r="I114" s="19">
        <f>IFERROR(I109/22803,0)</f>
        <v/>
      </c>
      <c r="J114" s="19">
        <f>IFERROR(J109/22803,0)</f>
        <v/>
      </c>
      <c r="K114" s="19">
        <f>IFERROR(K109/22803,0)</f>
        <v/>
      </c>
      <c r="L114" s="19">
        <f>IFERROR(L109/22803,0)</f>
        <v/>
      </c>
      <c r="M114" s="19">
        <f>IFERROR(M109/22803,0)</f>
        <v/>
      </c>
      <c r="N114" s="19">
        <f>IFERROR(N109/22803,0)</f>
        <v/>
      </c>
      <c r="O114" s="19">
        <f>IFERROR(O109/22803,0)</f>
        <v/>
      </c>
      <c r="P114" s="19">
        <f>IFERROR(P109/22803,0)</f>
        <v/>
      </c>
      <c r="Q114" s="19">
        <f>IFERROR(Q109/22803,0)</f>
        <v/>
      </c>
      <c r="R114" s="19">
        <f>IFERROR(R109/22803,0)</f>
        <v/>
      </c>
      <c r="S114" s="1" t="n"/>
    </row>
    <row r="115">
      <c r="A115" s="1" t="n"/>
      <c r="B115" s="1" t="n"/>
      <c r="C115" s="15" t="inlineStr">
        <is>
          <t>AAOIFI Shariah Screen (&lt;33%)</t>
        </is>
      </c>
      <c r="D115" s="1" t="n"/>
      <c r="E115" s="1" t="n"/>
      <c r="F115" s="1" t="n"/>
      <c r="G115" s="1" t="n"/>
      <c r="H115" s="1" t="n"/>
      <c r="I115" s="27">
        <f>IF(I114&lt;0.33,"COMPLIANT","FAIL")</f>
        <v/>
      </c>
      <c r="J115" s="27">
        <f>IF(J114&lt;0.33,"COMPLIANT","FAIL")</f>
        <v/>
      </c>
      <c r="K115" s="27">
        <f>IF(K114&lt;0.33,"COMPLIANT","FAIL")</f>
        <v/>
      </c>
      <c r="L115" s="27">
        <f>IF(L114&lt;0.33,"COMPLIANT","FAIL")</f>
        <v/>
      </c>
      <c r="M115" s="27">
        <f>IF(M114&lt;0.33,"COMPLIANT","FAIL")</f>
        <v/>
      </c>
      <c r="N115" s="27">
        <f>IF(N114&lt;0.33,"COMPLIANT","FAIL")</f>
        <v/>
      </c>
      <c r="O115" s="27">
        <f>IF(O114&lt;0.33,"COMPLIANT","FAIL")</f>
        <v/>
      </c>
      <c r="P115" s="27">
        <f>IF(P114&lt;0.33,"COMPLIANT","FAIL")</f>
        <v/>
      </c>
      <c r="Q115" s="27">
        <f>IF(Q114&lt;0.33,"COMPLIANT","FAIL")</f>
        <v/>
      </c>
      <c r="R115" s="27">
        <f>IF(R114&lt;0.33,"COMPLIANT","FAIL")</f>
        <v/>
      </c>
      <c r="S115" s="1" t="n"/>
    </row>
    <row r="116">
      <c r="A116" s="1" t="n"/>
      <c r="B116" s="1" t="n"/>
      <c r="C116" s="9" t="inlineStr">
        <is>
          <t>Synthetic Credit Rating</t>
        </is>
      </c>
      <c r="D116" s="1" t="n"/>
      <c r="E116" s="1" t="n"/>
      <c r="F116" s="1" t="n"/>
      <c r="G116" s="1" t="n"/>
      <c r="H116" s="1" t="n"/>
      <c r="I116" s="14">
        <f>IF(I112&gt;8.5,"AAA",IF(I112&gt;6.5,"AA",IF(I112&gt;5.5,"A+",IF(I112&gt;4.25,"A",IF(I112&gt;3,"A-",IF(I112&gt;2.5,"BBB",IF(I112&gt;2.25,"BB+",IF(I112&gt;2,"BB",IF(I112&gt;1.75,"B+",IF(I112&gt;1.5,"B",IF(I112&gt;1.25,"B-",IF(I112&gt;0.8,"CCC","D"))))))))))))</f>
        <v/>
      </c>
      <c r="J116" s="14">
        <f>IF(J112&gt;8.5,"AAA",IF(J112&gt;6.5,"AA",IF(J112&gt;5.5,"A+",IF(J112&gt;4.25,"A",IF(J112&gt;3,"A-",IF(J112&gt;2.5,"BBB",IF(J112&gt;2.25,"BB+",IF(J112&gt;2,"BB",IF(J112&gt;1.75,"B+",IF(J112&gt;1.5,"B",IF(J112&gt;1.25,"B-",IF(J112&gt;0.8,"CCC","D"))))))))))))</f>
        <v/>
      </c>
      <c r="K116" s="14">
        <f>IF(K112&gt;8.5,"AAA",IF(K112&gt;6.5,"AA",IF(K112&gt;5.5,"A+",IF(K112&gt;4.25,"A",IF(K112&gt;3,"A-",IF(K112&gt;2.5,"BBB",IF(K112&gt;2.25,"BB+",IF(K112&gt;2,"BB",IF(K112&gt;1.75,"B+",IF(K112&gt;1.5,"B",IF(K112&gt;1.25,"B-",IF(K112&gt;0.8,"CCC","D"))))))))))))</f>
        <v/>
      </c>
      <c r="L116" s="14">
        <f>IF(L112&gt;8.5,"AAA",IF(L112&gt;6.5,"AA",IF(L112&gt;5.5,"A+",IF(L112&gt;4.25,"A",IF(L112&gt;3,"A-",IF(L112&gt;2.5,"BBB",IF(L112&gt;2.25,"BB+",IF(L112&gt;2,"BB",IF(L112&gt;1.75,"B+",IF(L112&gt;1.5,"B",IF(L112&gt;1.25,"B-",IF(L112&gt;0.8,"CCC","D"))))))))))))</f>
        <v/>
      </c>
      <c r="M116" s="14">
        <f>IF(M112&gt;8.5,"AAA",IF(M112&gt;6.5,"AA",IF(M112&gt;5.5,"A+",IF(M112&gt;4.25,"A",IF(M112&gt;3,"A-",IF(M112&gt;2.5,"BBB",IF(M112&gt;2.25,"BB+",IF(M112&gt;2,"BB",IF(M112&gt;1.75,"B+",IF(M112&gt;1.5,"B",IF(M112&gt;1.25,"B-",IF(M112&gt;0.8,"CCC","D"))))))))))))</f>
        <v/>
      </c>
      <c r="N116" s="14">
        <f>IF(N112&gt;8.5,"AAA",IF(N112&gt;6.5,"AA",IF(N112&gt;5.5,"A+",IF(N112&gt;4.25,"A",IF(N112&gt;3,"A-",IF(N112&gt;2.5,"BBB",IF(N112&gt;2.25,"BB+",IF(N112&gt;2,"BB",IF(N112&gt;1.75,"B+",IF(N112&gt;1.5,"B",IF(N112&gt;1.25,"B-",IF(N112&gt;0.8,"CCC","D"))))))))))))</f>
        <v/>
      </c>
      <c r="O116" s="14">
        <f>IF(O112&gt;8.5,"AAA",IF(O112&gt;6.5,"AA",IF(O112&gt;5.5,"A+",IF(O112&gt;4.25,"A",IF(O112&gt;3,"A-",IF(O112&gt;2.5,"BBB",IF(O112&gt;2.25,"BB+",IF(O112&gt;2,"BB",IF(O112&gt;1.75,"B+",IF(O112&gt;1.5,"B",IF(O112&gt;1.25,"B-",IF(O112&gt;0.8,"CCC","D"))))))))))))</f>
        <v/>
      </c>
      <c r="P116" s="14">
        <f>IF(P112&gt;8.5,"AAA",IF(P112&gt;6.5,"AA",IF(P112&gt;5.5,"A+",IF(P112&gt;4.25,"A",IF(P112&gt;3,"A-",IF(P112&gt;2.5,"BBB",IF(P112&gt;2.25,"BB+",IF(P112&gt;2,"BB",IF(P112&gt;1.75,"B+",IF(P112&gt;1.5,"B",IF(P112&gt;1.25,"B-",IF(P112&gt;0.8,"CCC","D"))))))))))))</f>
        <v/>
      </c>
      <c r="Q116" s="14">
        <f>IF(Q112&gt;8.5,"AAA",IF(Q112&gt;6.5,"AA",IF(Q112&gt;5.5,"A+",IF(Q112&gt;4.25,"A",IF(Q112&gt;3,"A-",IF(Q112&gt;2.5,"BBB",IF(Q112&gt;2.25,"BB+",IF(Q112&gt;2,"BB",IF(Q112&gt;1.75,"B+",IF(Q112&gt;1.5,"B",IF(Q112&gt;1.25,"B-",IF(Q112&gt;0.8,"CCC","D"))))))))))))</f>
        <v/>
      </c>
      <c r="R116" s="14">
        <f>IF(R112&gt;8.5,"AAA",IF(R112&gt;6.5,"AA",IF(R112&gt;5.5,"A+",IF(R112&gt;4.25,"A",IF(R112&gt;3,"A-",IF(R112&gt;2.5,"BBB",IF(R112&gt;2.25,"BB+",IF(R112&gt;2,"BB",IF(R112&gt;1.75,"B+",IF(R112&gt;1.5,"B",IF(R112&gt;1.25,"B-",IF(R112&gt;0.8,"CCC","D"))))))))))))</f>
        <v/>
      </c>
      <c r="S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>
      <c r="A120" s="1" t="n"/>
      <c r="B120" s="1" t="n"/>
      <c r="C120" s="1" t="n"/>
      <c r="D120" s="9" t="inlineStr">
        <is>
          <t>Total interest (for P&amp;L ref)</t>
        </is>
      </c>
      <c r="E120" s="1" t="n"/>
      <c r="F120" s="1" t="n"/>
      <c r="G120" s="1" t="n"/>
      <c r="H120" s="1" t="n"/>
      <c r="I120" s="14">
        <f>I101</f>
        <v/>
      </c>
      <c r="J120" s="14">
        <f>J101</f>
        <v/>
      </c>
      <c r="K120" s="14">
        <f>K101</f>
        <v/>
      </c>
      <c r="L120" s="14">
        <f>L101</f>
        <v/>
      </c>
      <c r="M120" s="14">
        <f>M101</f>
        <v/>
      </c>
      <c r="N120" s="14">
        <f>N101</f>
        <v/>
      </c>
      <c r="O120" s="14">
        <f>O101</f>
        <v/>
      </c>
      <c r="P120" s="14">
        <f>P101</f>
        <v/>
      </c>
      <c r="Q120" s="14">
        <f>Q101</f>
        <v/>
      </c>
      <c r="R120" s="14">
        <f>R101</f>
        <v/>
      </c>
      <c r="S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>
      <c r="A125" s="1" t="n"/>
      <c r="B125" s="5" t="inlineStr">
        <is>
          <t>SECTION 7 — RETURNS ANALYSIS (ALiF PE)</t>
        </is>
      </c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>
      <c r="A127" s="1" t="n"/>
      <c r="B127" s="1" t="n"/>
      <c r="C127" s="20" t="inlineStr"/>
      <c r="D127" s="21" t="n"/>
      <c r="E127" s="20" t="inlineStr">
        <is>
          <t>Year #</t>
        </is>
      </c>
      <c r="F127" s="21" t="n"/>
      <c r="G127" s="21" t="n"/>
      <c r="H127" s="20" t="inlineStr">
        <is>
          <t>Entry</t>
        </is>
      </c>
      <c r="I127" s="20" t="inlineStr">
        <is>
          <t>FY2025</t>
        </is>
      </c>
      <c r="J127" s="20" t="inlineStr">
        <is>
          <t>FY2026</t>
        </is>
      </c>
      <c r="K127" s="20" t="inlineStr">
        <is>
          <t>FY2027</t>
        </is>
      </c>
      <c r="L127" s="20" t="inlineStr">
        <is>
          <t>FY2028</t>
        </is>
      </c>
      <c r="M127" s="20" t="inlineStr">
        <is>
          <t>FY2029</t>
        </is>
      </c>
      <c r="N127" s="20" t="inlineStr">
        <is>
          <t>FY2030</t>
        </is>
      </c>
      <c r="O127" s="20" t="inlineStr">
        <is>
          <t>FY2031</t>
        </is>
      </c>
      <c r="P127" s="20" t="inlineStr">
        <is>
          <t>FY2032</t>
        </is>
      </c>
      <c r="Q127" s="20" t="inlineStr">
        <is>
          <t>FY2033</t>
        </is>
      </c>
      <c r="R127" s="20" t="inlineStr">
        <is>
          <t>FY2034</t>
        </is>
      </c>
      <c r="S127" s="2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0" t="n">
        <v>1</v>
      </c>
      <c r="J128" s="30" t="n">
        <v>2</v>
      </c>
      <c r="K128" s="30" t="n">
        <v>3</v>
      </c>
      <c r="L128" s="30" t="n">
        <v>4</v>
      </c>
      <c r="M128" s="30" t="n">
        <v>5</v>
      </c>
      <c r="N128" s="30" t="n">
        <v>6</v>
      </c>
      <c r="O128" s="30" t="n">
        <v>7</v>
      </c>
      <c r="P128" s="30" t="n">
        <v>8</v>
      </c>
      <c r="Q128" s="30" t="n">
        <v>9</v>
      </c>
      <c r="R128" s="30" t="n">
        <v>10</v>
      </c>
      <c r="S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>
      <c r="A130" s="1" t="n"/>
      <c r="B130" s="1" t="n"/>
      <c r="C130" s="9" t="inlineStr">
        <is>
          <t>Exit EBITDA</t>
        </is>
      </c>
      <c r="D130" s="1" t="n"/>
      <c r="E130" s="1" t="n"/>
      <c r="F130" s="1" t="n"/>
      <c r="G130" s="1" t="n"/>
      <c r="H130" s="1" t="n"/>
      <c r="I130" s="14">
        <f>I41</f>
        <v/>
      </c>
      <c r="J130" s="14">
        <f>J41</f>
        <v/>
      </c>
      <c r="K130" s="14">
        <f>K41</f>
        <v/>
      </c>
      <c r="L130" s="14">
        <f>L41</f>
        <v/>
      </c>
      <c r="M130" s="14">
        <f>M41</f>
        <v/>
      </c>
      <c r="N130" s="14">
        <f>N41</f>
        <v/>
      </c>
      <c r="O130" s="14">
        <f>O41</f>
        <v/>
      </c>
      <c r="P130" s="14">
        <f>P41</f>
        <v/>
      </c>
      <c r="Q130" s="14">
        <f>Q41</f>
        <v/>
      </c>
      <c r="R130" s="14">
        <f>R41</f>
        <v/>
      </c>
      <c r="S130" s="1" t="n"/>
    </row>
    <row r="131">
      <c r="A131" s="1" t="n"/>
      <c r="B131" s="1" t="n"/>
      <c r="C131" s="9" t="inlineStr">
        <is>
          <t>Exit EV/EBITDA</t>
        </is>
      </c>
      <c r="D131" s="1" t="n"/>
      <c r="E131" s="1" t="n"/>
      <c r="F131" s="1" t="n"/>
      <c r="G131" s="1" t="n"/>
      <c r="H131" s="1" t="n"/>
      <c r="I131" s="29">
        <f>$L$8</f>
        <v/>
      </c>
      <c r="J131" s="29">
        <f>$L$8</f>
        <v/>
      </c>
      <c r="K131" s="29">
        <f>$L$8</f>
        <v/>
      </c>
      <c r="L131" s="29">
        <f>$L$8</f>
        <v/>
      </c>
      <c r="M131" s="29">
        <f>$L$8</f>
        <v/>
      </c>
      <c r="N131" s="29">
        <f>$L$8</f>
        <v/>
      </c>
      <c r="O131" s="29">
        <f>$L$8</f>
        <v/>
      </c>
      <c r="P131" s="29">
        <f>$L$8</f>
        <v/>
      </c>
      <c r="Q131" s="29">
        <f>$L$8</f>
        <v/>
      </c>
      <c r="R131" s="29">
        <f>$L$8</f>
        <v/>
      </c>
      <c r="S131" s="1" t="n"/>
    </row>
    <row r="132">
      <c r="A132" s="1" t="n"/>
      <c r="B132" s="1" t="n"/>
      <c r="C132" s="15" t="inlineStr">
        <is>
          <t>Exit Enterprise Value</t>
        </is>
      </c>
      <c r="D132" s="1" t="n"/>
      <c r="E132" s="1" t="n"/>
      <c r="F132" s="1" t="n"/>
      <c r="G132" s="1" t="n"/>
      <c r="H132" s="1" t="n"/>
      <c r="I132" s="27">
        <f>I130*I131</f>
        <v/>
      </c>
      <c r="J132" s="27">
        <f>J130*J131</f>
        <v/>
      </c>
      <c r="K132" s="27">
        <f>K130*K131</f>
        <v/>
      </c>
      <c r="L132" s="27">
        <f>L130*L131</f>
        <v/>
      </c>
      <c r="M132" s="27">
        <f>M130*M131</f>
        <v/>
      </c>
      <c r="N132" s="27">
        <f>N130*N131</f>
        <v/>
      </c>
      <c r="O132" s="27">
        <f>O130*O131</f>
        <v/>
      </c>
      <c r="P132" s="27">
        <f>P130*P131</f>
        <v/>
      </c>
      <c r="Q132" s="27">
        <f>Q130*Q131</f>
        <v/>
      </c>
      <c r="R132" s="27">
        <f>R130*R131</f>
        <v/>
      </c>
      <c r="S132" s="1" t="n"/>
    </row>
    <row r="133">
      <c r="A133" s="1" t="n"/>
      <c r="B133" s="1" t="n"/>
      <c r="C133" s="9" t="inlineStr">
        <is>
          <t>(-) Net Debt at Exit</t>
        </is>
      </c>
      <c r="D133" s="1" t="n"/>
      <c r="E133" s="1" t="n"/>
      <c r="F133" s="1" t="n"/>
      <c r="G133" s="1" t="n"/>
      <c r="H133" s="1" t="n"/>
      <c r="I133" s="14">
        <f>I100*-1</f>
        <v/>
      </c>
      <c r="J133" s="14">
        <f>J100*-1</f>
        <v/>
      </c>
      <c r="K133" s="14">
        <f>K100*-1</f>
        <v/>
      </c>
      <c r="L133" s="14">
        <f>L100*-1</f>
        <v/>
      </c>
      <c r="M133" s="14">
        <f>M100*-1</f>
        <v/>
      </c>
      <c r="N133" s="14">
        <f>N100*-1</f>
        <v/>
      </c>
      <c r="O133" s="14">
        <f>O100*-1</f>
        <v/>
      </c>
      <c r="P133" s="14">
        <f>P100*-1</f>
        <v/>
      </c>
      <c r="Q133" s="14">
        <f>Q100*-1</f>
        <v/>
      </c>
      <c r="R133" s="14">
        <f>R100*-1</f>
        <v/>
      </c>
      <c r="S133" s="1" t="n"/>
    </row>
    <row r="134">
      <c r="A134" s="1" t="n"/>
      <c r="B134" s="1" t="n"/>
      <c r="C134" s="15" t="inlineStr">
        <is>
          <t>Exit Equity Value (100%)</t>
        </is>
      </c>
      <c r="D134" s="1" t="n"/>
      <c r="E134" s="1" t="n"/>
      <c r="F134" s="1" t="n"/>
      <c r="G134" s="1" t="n"/>
      <c r="H134" s="1" t="n"/>
      <c r="I134" s="27">
        <f>I132+I133</f>
        <v/>
      </c>
      <c r="J134" s="27">
        <f>J132+J133</f>
        <v/>
      </c>
      <c r="K134" s="27">
        <f>K132+K133</f>
        <v/>
      </c>
      <c r="L134" s="27">
        <f>L132+L133</f>
        <v/>
      </c>
      <c r="M134" s="27">
        <f>M132+M133</f>
        <v/>
      </c>
      <c r="N134" s="27">
        <f>N132+N133</f>
        <v/>
      </c>
      <c r="O134" s="27">
        <f>O132+O133</f>
        <v/>
      </c>
      <c r="P134" s="27">
        <f>P132+P133</f>
        <v/>
      </c>
      <c r="Q134" s="27">
        <f>Q132+Q133</f>
        <v/>
      </c>
      <c r="R134" s="27">
        <f>R132+R133</f>
        <v/>
      </c>
      <c r="S134" s="1" t="n"/>
    </row>
    <row r="135">
      <c r="A135" s="1" t="n"/>
      <c r="B135" s="1" t="n"/>
      <c r="C135" s="15" t="inlineStr">
        <is>
          <t>ALiF Share (85%)</t>
        </is>
      </c>
      <c r="D135" s="1" t="n"/>
      <c r="E135" s="1" t="n"/>
      <c r="F135" s="1" t="n"/>
      <c r="G135" s="1" t="n"/>
      <c r="H135" s="1" t="n"/>
      <c r="I135" s="27">
        <f>I134*$E$15</f>
        <v/>
      </c>
      <c r="J135" s="27">
        <f>J134*$E$15</f>
        <v/>
      </c>
      <c r="K135" s="27">
        <f>K134*$E$15</f>
        <v/>
      </c>
      <c r="L135" s="27">
        <f>L134*$E$15</f>
        <v/>
      </c>
      <c r="M135" s="27">
        <f>M134*$E$15</f>
        <v/>
      </c>
      <c r="N135" s="27">
        <f>N134*$E$15</f>
        <v/>
      </c>
      <c r="O135" s="27">
        <f>O134*$E$15</f>
        <v/>
      </c>
      <c r="P135" s="27">
        <f>P134*$E$15</f>
        <v/>
      </c>
      <c r="Q135" s="27">
        <f>Q134*$E$15</f>
        <v/>
      </c>
      <c r="R135" s="27">
        <f>R134*$E$15</f>
        <v/>
      </c>
      <c r="S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>
      <c r="A137" s="1" t="n"/>
      <c r="B137" s="1" t="n"/>
      <c r="C137" s="9" t="inlineStr">
        <is>
          <t>ALiF Total Cash Investment</t>
        </is>
      </c>
      <c r="D137" s="1" t="n"/>
      <c r="E137" s="1" t="n"/>
      <c r="F137" s="1" t="n"/>
      <c r="G137" s="1" t="n"/>
      <c r="H137" s="14">
        <f>E14</f>
        <v/>
      </c>
      <c r="I137" s="14">
        <f>$H$137</f>
        <v/>
      </c>
      <c r="J137" s="14">
        <f>$H$137</f>
        <v/>
      </c>
      <c r="K137" s="14">
        <f>$H$137</f>
        <v/>
      </c>
      <c r="L137" s="14">
        <f>$H$137</f>
        <v/>
      </c>
      <c r="M137" s="14">
        <f>$H$137</f>
        <v/>
      </c>
      <c r="N137" s="14">
        <f>$H$137</f>
        <v/>
      </c>
      <c r="O137" s="14">
        <f>$H$137</f>
        <v/>
      </c>
      <c r="P137" s="14">
        <f>$H$137</f>
        <v/>
      </c>
      <c r="Q137" s="14">
        <f>$H$137</f>
        <v/>
      </c>
      <c r="R137" s="14">
        <f>$H$137</f>
        <v/>
      </c>
      <c r="S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>
      <c r="A139" s="1" t="n"/>
      <c r="B139" s="1" t="n"/>
      <c r="C139" s="15" t="inlineStr">
        <is>
          <t>MoM Multiple</t>
        </is>
      </c>
      <c r="D139" s="1" t="n"/>
      <c r="E139" s="1" t="n"/>
      <c r="F139" s="1" t="n"/>
      <c r="G139" s="1" t="n"/>
      <c r="H139" s="1" t="n"/>
      <c r="I139" s="28">
        <f>IFERROR(I135/I137,"nm")</f>
        <v/>
      </c>
      <c r="J139" s="28">
        <f>IFERROR(J135/J137,"nm")</f>
        <v/>
      </c>
      <c r="K139" s="28">
        <f>IFERROR(K135/K137,"nm")</f>
        <v/>
      </c>
      <c r="L139" s="28">
        <f>IFERROR(L135/L137,"nm")</f>
        <v/>
      </c>
      <c r="M139" s="28">
        <f>IFERROR(M135/M137,"nm")</f>
        <v/>
      </c>
      <c r="N139" s="28">
        <f>IFERROR(N135/N137,"nm")</f>
        <v/>
      </c>
      <c r="O139" s="28">
        <f>IFERROR(O135/O137,"nm")</f>
        <v/>
      </c>
      <c r="P139" s="28">
        <f>IFERROR(P135/P137,"nm")</f>
        <v/>
      </c>
      <c r="Q139" s="28">
        <f>IFERROR(Q135/Q137,"nm")</f>
        <v/>
      </c>
      <c r="R139" s="28">
        <f>IFERROR(R135/R137,"nm")</f>
        <v/>
      </c>
      <c r="S139" s="1" t="n"/>
    </row>
    <row r="140">
      <c r="A140" s="1" t="n"/>
      <c r="B140" s="1" t="n"/>
      <c r="C140" s="15" t="inlineStr">
        <is>
          <t>IRR</t>
        </is>
      </c>
      <c r="D140" s="1" t="n"/>
      <c r="E140" s="1" t="n"/>
      <c r="F140" s="1" t="n"/>
      <c r="G140" s="1" t="n"/>
      <c r="H140" s="1" t="n"/>
      <c r="I140" s="31">
        <f>IFERROR((I139)^(1/I128)-1,"nm")</f>
        <v/>
      </c>
      <c r="J140" s="31">
        <f>IFERROR((J139)^(1/J128)-1,"nm")</f>
        <v/>
      </c>
      <c r="K140" s="31">
        <f>IFERROR((K139)^(1/K128)-1,"nm")</f>
        <v/>
      </c>
      <c r="L140" s="31">
        <f>IFERROR((L139)^(1/L128)-1,"nm")</f>
        <v/>
      </c>
      <c r="M140" s="31">
        <f>IFERROR((M139)^(1/M128)-1,"nm")</f>
        <v/>
      </c>
      <c r="N140" s="31">
        <f>IFERROR((N139)^(1/N128)-1,"nm")</f>
        <v/>
      </c>
      <c r="O140" s="31">
        <f>IFERROR((O139)^(1/O128)-1,"nm")</f>
        <v/>
      </c>
      <c r="P140" s="31">
        <f>IFERROR((P139)^(1/P128)-1,"nm")</f>
        <v/>
      </c>
      <c r="Q140" s="31">
        <f>IFERROR((Q139)^(1/Q128)-1,"nm")</f>
        <v/>
      </c>
      <c r="R140" s="31">
        <f>IFERROR((R139)^(1/R128)-1,"nm")</f>
        <v/>
      </c>
      <c r="S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>
      <c r="A142" s="1" t="n"/>
      <c r="B142" s="1" t="n"/>
      <c r="C142" s="8" t="inlineStr">
        <is>
          <t>PE VERDICT</t>
        </is>
      </c>
      <c r="D142" s="1" t="n"/>
      <c r="E142" s="1" t="n"/>
      <c r="F142" s="1" t="n"/>
      <c r="G142" s="1" t="n"/>
      <c r="H142" s="1" t="n"/>
      <c r="I142" s="27">
        <f>IF(I139&gt;=2,"STRONG BUY",IF(I139&gt;=1.5,"BUY",IF(I139&gt;=1,"HOLD","PASS")))</f>
        <v/>
      </c>
      <c r="J142" s="27">
        <f>IF(J139&gt;=2,"STRONG BUY",IF(J139&gt;=1.5,"BUY",IF(J139&gt;=1,"HOLD","PASS")))</f>
        <v/>
      </c>
      <c r="K142" s="27">
        <f>IF(K139&gt;=2,"STRONG BUY",IF(K139&gt;=1.5,"BUY",IF(K139&gt;=1,"HOLD","PASS")))</f>
        <v/>
      </c>
      <c r="L142" s="27">
        <f>IF(L139&gt;=2,"STRONG BUY",IF(L139&gt;=1.5,"BUY",IF(L139&gt;=1,"HOLD","PASS")))</f>
        <v/>
      </c>
      <c r="M142" s="27">
        <f>IF(M139&gt;=2,"STRONG BUY",IF(M139&gt;=1.5,"BUY",IF(M139&gt;=1,"HOLD","PASS")))</f>
        <v/>
      </c>
      <c r="N142" s="27">
        <f>IF(N139&gt;=2,"STRONG BUY",IF(N139&gt;=1.5,"BUY",IF(N139&gt;=1,"HOLD","PASS")))</f>
        <v/>
      </c>
      <c r="O142" s="27">
        <f>IF(O139&gt;=2,"STRONG BUY",IF(O139&gt;=1.5,"BUY",IF(O139&gt;=1,"HOLD","PASS")))</f>
        <v/>
      </c>
      <c r="P142" s="27">
        <f>IF(P139&gt;=2,"STRONG BUY",IF(P139&gt;=1.5,"BUY",IF(P139&gt;=1,"HOLD","PASS")))</f>
        <v/>
      </c>
      <c r="Q142" s="27">
        <f>IF(Q139&gt;=2,"STRONG BUY",IF(Q139&gt;=1.5,"BUY",IF(Q139&gt;=1,"HOLD","PASS")))</f>
        <v/>
      </c>
      <c r="R142" s="27">
        <f>IF(R139&gt;=2,"STRONG BUY",IF(R139&gt;=1.5,"BUY",IF(R139&gt;=1,"HOLD","PASS")))</f>
        <v/>
      </c>
      <c r="S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>
      <c r="A145" s="1" t="n"/>
      <c r="B145" s="5" t="inlineStr">
        <is>
          <t>SECTION 8 — VALUE CREATION BRIDGE (HBS PE Framework)</t>
        </is>
      </c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7" t="inlineStr">
        <is>
          <t>ΔEquity = Δ(Multiple × EBITDA) − (ΔDebt − ΔCash)</t>
        </is>
      </c>
      <c r="O145" s="6" t="n"/>
      <c r="P145" s="6" t="n"/>
      <c r="Q145" s="6" t="n"/>
      <c r="R145" s="6" t="n"/>
      <c r="S145" s="6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>
      <c r="A147" s="1" t="n"/>
      <c r="B147" s="1" t="n"/>
      <c r="C147" s="20" t="inlineStr"/>
      <c r="D147" s="21" t="n"/>
      <c r="E147" s="21" t="n"/>
      <c r="F147" s="21" t="n"/>
      <c r="G147" s="21" t="n"/>
      <c r="H147" s="21" t="n"/>
      <c r="I147" s="20" t="inlineStr">
        <is>
          <t>FY2025</t>
        </is>
      </c>
      <c r="J147" s="20" t="inlineStr">
        <is>
          <t>FY2026</t>
        </is>
      </c>
      <c r="K147" s="20" t="inlineStr">
        <is>
          <t>FY2027</t>
        </is>
      </c>
      <c r="L147" s="20" t="inlineStr">
        <is>
          <t>FY2028</t>
        </is>
      </c>
      <c r="M147" s="20" t="inlineStr">
        <is>
          <t>FY2029</t>
        </is>
      </c>
      <c r="N147" s="20" t="inlineStr">
        <is>
          <t>FY2030</t>
        </is>
      </c>
      <c r="O147" s="20" t="inlineStr">
        <is>
          <t>FY2031</t>
        </is>
      </c>
      <c r="P147" s="20" t="inlineStr">
        <is>
          <t>FY2032</t>
        </is>
      </c>
      <c r="Q147" s="20" t="inlineStr">
        <is>
          <t>FY2033</t>
        </is>
      </c>
      <c r="R147" s="20" t="inlineStr">
        <is>
          <t>FY2034</t>
        </is>
      </c>
      <c r="S147" s="2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>
      <c r="A149" s="1" t="n"/>
      <c r="B149" s="1" t="n"/>
      <c r="C149" s="9" t="inlineStr">
        <is>
          <t>Entry EBITDA</t>
        </is>
      </c>
      <c r="D149" s="1" t="n"/>
      <c r="E149" s="1" t="n"/>
      <c r="F149" s="1" t="n"/>
      <c r="G149" s="1" t="n"/>
      <c r="H149" s="1" t="n"/>
      <c r="I149" s="14">
        <f>$I$41</f>
        <v/>
      </c>
      <c r="J149" s="14">
        <f>$I$41</f>
        <v/>
      </c>
      <c r="K149" s="14">
        <f>$I$41</f>
        <v/>
      </c>
      <c r="L149" s="14">
        <f>$I$41</f>
        <v/>
      </c>
      <c r="M149" s="14">
        <f>$I$41</f>
        <v/>
      </c>
      <c r="N149" s="14">
        <f>$I$41</f>
        <v/>
      </c>
      <c r="O149" s="14">
        <f>$I$41</f>
        <v/>
      </c>
      <c r="P149" s="14">
        <f>$I$41</f>
        <v/>
      </c>
      <c r="Q149" s="14">
        <f>$I$41</f>
        <v/>
      </c>
      <c r="R149" s="14">
        <f>$I$41</f>
        <v/>
      </c>
      <c r="S149" s="1" t="n"/>
    </row>
    <row r="150">
      <c r="A150" s="1" t="n"/>
      <c r="B150" s="1" t="n"/>
      <c r="C150" s="9" t="inlineStr">
        <is>
          <t>Exit EBITDA</t>
        </is>
      </c>
      <c r="D150" s="1" t="n"/>
      <c r="E150" s="1" t="n"/>
      <c r="F150" s="1" t="n"/>
      <c r="G150" s="1" t="n"/>
      <c r="H150" s="1" t="n"/>
      <c r="I150" s="14">
        <f>I41</f>
        <v/>
      </c>
      <c r="J150" s="14">
        <f>J41</f>
        <v/>
      </c>
      <c r="K150" s="14">
        <f>K41</f>
        <v/>
      </c>
      <c r="L150" s="14">
        <f>L41</f>
        <v/>
      </c>
      <c r="M150" s="14">
        <f>M41</f>
        <v/>
      </c>
      <c r="N150" s="14">
        <f>N41</f>
        <v/>
      </c>
      <c r="O150" s="14">
        <f>O41</f>
        <v/>
      </c>
      <c r="P150" s="14">
        <f>P41</f>
        <v/>
      </c>
      <c r="Q150" s="14">
        <f>Q41</f>
        <v/>
      </c>
      <c r="R150" s="14">
        <f>R41</f>
        <v/>
      </c>
      <c r="S150" s="1" t="n"/>
    </row>
    <row r="151">
      <c r="A151" s="1" t="n"/>
      <c r="B151" s="1" t="n"/>
      <c r="C151" s="15" t="inlineStr">
        <is>
          <t>EBITDA Growth</t>
        </is>
      </c>
      <c r="D151" s="1" t="n"/>
      <c r="E151" s="1" t="n"/>
      <c r="F151" s="1" t="n"/>
      <c r="G151" s="1" t="n"/>
      <c r="H151" s="1" t="n"/>
      <c r="I151" s="27">
        <f>I150-I149</f>
        <v/>
      </c>
      <c r="J151" s="27">
        <f>J150-J149</f>
        <v/>
      </c>
      <c r="K151" s="27">
        <f>K150-K149</f>
        <v/>
      </c>
      <c r="L151" s="27">
        <f>L150-L149</f>
        <v/>
      </c>
      <c r="M151" s="27">
        <f>M150-M149</f>
        <v/>
      </c>
      <c r="N151" s="27">
        <f>N150-N149</f>
        <v/>
      </c>
      <c r="O151" s="27">
        <f>O150-O149</f>
        <v/>
      </c>
      <c r="P151" s="27">
        <f>P150-P149</f>
        <v/>
      </c>
      <c r="Q151" s="27">
        <f>Q150-Q149</f>
        <v/>
      </c>
      <c r="R151" s="27">
        <f>R150-R149</f>
        <v/>
      </c>
      <c r="S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>
      <c r="A153" s="1" t="n"/>
      <c r="B153" s="1" t="n"/>
      <c r="C153" s="9" t="inlineStr">
        <is>
          <t>Value from EBITDA Growth</t>
        </is>
      </c>
      <c r="D153" s="1" t="n"/>
      <c r="E153" s="1" t="n"/>
      <c r="F153" s="1" t="n"/>
      <c r="G153" s="1" t="n"/>
      <c r="H153" s="1" t="n"/>
      <c r="I153" s="14">
        <f>I151*$L$8*$E$15</f>
        <v/>
      </c>
      <c r="J153" s="14">
        <f>J151*$L$8*$E$15</f>
        <v/>
      </c>
      <c r="K153" s="14">
        <f>K151*$L$8*$E$15</f>
        <v/>
      </c>
      <c r="L153" s="14">
        <f>L151*$L$8*$E$15</f>
        <v/>
      </c>
      <c r="M153" s="14">
        <f>M151*$L$8*$E$15</f>
        <v/>
      </c>
      <c r="N153" s="14">
        <f>N151*$L$8*$E$15</f>
        <v/>
      </c>
      <c r="O153" s="14">
        <f>O151*$L$8*$E$15</f>
        <v/>
      </c>
      <c r="P153" s="14">
        <f>P151*$L$8*$E$15</f>
        <v/>
      </c>
      <c r="Q153" s="14">
        <f>Q151*$L$8*$E$15</f>
        <v/>
      </c>
      <c r="R153" s="14">
        <f>R151*$L$8*$E$15</f>
        <v/>
      </c>
      <c r="S153" s="1" t="n"/>
    </row>
    <row r="154">
      <c r="A154" s="1" t="n"/>
      <c r="B154" s="1" t="n"/>
      <c r="C154" s="9" t="inlineStr">
        <is>
          <t>Value from Multiple Expansion</t>
        </is>
      </c>
      <c r="D154" s="1" t="n"/>
      <c r="E154" s="1" t="n"/>
      <c r="F154" s="1" t="n"/>
      <c r="G154" s="1" t="n"/>
      <c r="H154" s="1" t="n"/>
      <c r="I154" s="14">
        <f>($L$8-IFERROR($E$14/$I$41,0))*I149*$E$15</f>
        <v/>
      </c>
      <c r="J154" s="14">
        <f>($L$8-IFERROR($E$14/$I$41,0))*J149*$E$15</f>
        <v/>
      </c>
      <c r="K154" s="14">
        <f>($L$8-IFERROR($E$14/$I$41,0))*K149*$E$15</f>
        <v/>
      </c>
      <c r="L154" s="14">
        <f>($L$8-IFERROR($E$14/$I$41,0))*L149*$E$15</f>
        <v/>
      </c>
      <c r="M154" s="14">
        <f>($L$8-IFERROR($E$14/$I$41,0))*M149*$E$15</f>
        <v/>
      </c>
      <c r="N154" s="14">
        <f>($L$8-IFERROR($E$14/$I$41,0))*N149*$E$15</f>
        <v/>
      </c>
      <c r="O154" s="14">
        <f>($L$8-IFERROR($E$14/$I$41,0))*O149*$E$15</f>
        <v/>
      </c>
      <c r="P154" s="14">
        <f>($L$8-IFERROR($E$14/$I$41,0))*P149*$E$15</f>
        <v/>
      </c>
      <c r="Q154" s="14">
        <f>($L$8-IFERROR($E$14/$I$41,0))*Q149*$E$15</f>
        <v/>
      </c>
      <c r="R154" s="14">
        <f>($L$8-IFERROR($E$14/$I$41,0))*R149*$E$15</f>
        <v/>
      </c>
      <c r="S154" s="1" t="n"/>
    </row>
    <row r="155">
      <c r="A155" s="1" t="n"/>
      <c r="B155" s="1" t="n"/>
      <c r="C155" s="9" t="inlineStr">
        <is>
          <t>Value from Deleverage</t>
        </is>
      </c>
      <c r="D155" s="1" t="n"/>
      <c r="E155" s="1" t="n"/>
      <c r="F155" s="1" t="n"/>
      <c r="G155" s="1" t="n"/>
      <c r="H155" s="1" t="n"/>
      <c r="I155" s="14">
        <f>($H$100-I100)*$E$15</f>
        <v/>
      </c>
      <c r="J155" s="14">
        <f>($H$100-J100)*$E$15</f>
        <v/>
      </c>
      <c r="K155" s="14">
        <f>($H$100-K100)*$E$15</f>
        <v/>
      </c>
      <c r="L155" s="14">
        <f>($H$100-L100)*$E$15</f>
        <v/>
      </c>
      <c r="M155" s="14">
        <f>($H$100-M100)*$E$15</f>
        <v/>
      </c>
      <c r="N155" s="14">
        <f>($H$100-N100)*$E$15</f>
        <v/>
      </c>
      <c r="O155" s="14">
        <f>($H$100-O100)*$E$15</f>
        <v/>
      </c>
      <c r="P155" s="14">
        <f>($H$100-P100)*$E$15</f>
        <v/>
      </c>
      <c r="Q155" s="14">
        <f>($H$100-Q100)*$E$15</f>
        <v/>
      </c>
      <c r="R155" s="14">
        <f>($H$100-R100)*$E$15</f>
        <v/>
      </c>
      <c r="S155" s="1" t="n"/>
    </row>
    <row r="156">
      <c r="A156" s="1" t="n"/>
      <c r="B156" s="1" t="n"/>
      <c r="C156" s="9" t="inlineStr">
        <is>
          <t>(-) Fees &amp; Transaction Costs</t>
        </is>
      </c>
      <c r="D156" s="1" t="n"/>
      <c r="E156" s="1" t="n"/>
      <c r="F156" s="1" t="n"/>
      <c r="G156" s="1" t="n"/>
      <c r="H156" s="1" t="n"/>
      <c r="I156" s="14">
        <f>(E27+E28)*-1</f>
        <v/>
      </c>
      <c r="J156" s="14">
        <f>(E27+E28)*-1</f>
        <v/>
      </c>
      <c r="K156" s="14">
        <f>(E27+E28)*-1</f>
        <v/>
      </c>
      <c r="L156" s="14">
        <f>(E27+E28)*-1</f>
        <v/>
      </c>
      <c r="M156" s="14">
        <f>(E27+E28)*-1</f>
        <v/>
      </c>
      <c r="N156" s="14">
        <f>(E27+E28)*-1</f>
        <v/>
      </c>
      <c r="O156" s="14">
        <f>(E27+E28)*-1</f>
        <v/>
      </c>
      <c r="P156" s="14">
        <f>(E27+E28)*-1</f>
        <v/>
      </c>
      <c r="Q156" s="14">
        <f>(E27+E28)*-1</f>
        <v/>
      </c>
      <c r="R156" s="14">
        <f>(E27+E28)*-1</f>
        <v/>
      </c>
      <c r="S156" s="1" t="n"/>
    </row>
    <row r="157">
      <c r="A157" s="1" t="n"/>
      <c r="B157" s="1" t="n"/>
      <c r="C157" s="15" t="inlineStr">
        <is>
          <t>Total Value Created</t>
        </is>
      </c>
      <c r="D157" s="1" t="n"/>
      <c r="E157" s="1" t="n"/>
      <c r="F157" s="1" t="n"/>
      <c r="G157" s="1" t="n"/>
      <c r="H157" s="1" t="n"/>
      <c r="I157" s="27">
        <f>SUM(I153:I156)</f>
        <v/>
      </c>
      <c r="J157" s="27">
        <f>SUM(J153:J156)</f>
        <v/>
      </c>
      <c r="K157" s="27">
        <f>SUM(K153:K156)</f>
        <v/>
      </c>
      <c r="L157" s="27">
        <f>SUM(L153:L156)</f>
        <v/>
      </c>
      <c r="M157" s="27">
        <f>SUM(M153:M156)</f>
        <v/>
      </c>
      <c r="N157" s="27">
        <f>SUM(N153:N156)</f>
        <v/>
      </c>
      <c r="O157" s="27">
        <f>SUM(O153:O156)</f>
        <v/>
      </c>
      <c r="P157" s="27">
        <f>SUM(P153:P156)</f>
        <v/>
      </c>
      <c r="Q157" s="27">
        <f>SUM(Q153:Q156)</f>
        <v/>
      </c>
      <c r="R157" s="27">
        <f>SUM(R153:R156)</f>
        <v/>
      </c>
      <c r="S157" s="1" t="n"/>
    </row>
    <row r="158">
      <c r="A158" s="1" t="n"/>
      <c r="B158" s="1" t="n"/>
      <c r="C158" s="23" t="inlineStr">
        <is>
          <t>Check (vs. Equity - Investment)</t>
        </is>
      </c>
      <c r="D158" s="1" t="n"/>
      <c r="E158" s="1" t="n"/>
      <c r="F158" s="1" t="n"/>
      <c r="G158" s="1" t="n"/>
      <c r="H158" s="1" t="n"/>
      <c r="I158" s="16">
        <f>I135-$H$137-I157</f>
        <v/>
      </c>
      <c r="J158" s="16">
        <f>J135-$H$137-J157</f>
        <v/>
      </c>
      <c r="K158" s="16">
        <f>K135-$H$137-K157</f>
        <v/>
      </c>
      <c r="L158" s="16">
        <f>L135-$H$137-L157</f>
        <v/>
      </c>
      <c r="M158" s="16">
        <f>M135-$H$137-M157</f>
        <v/>
      </c>
      <c r="N158" s="16">
        <f>N135-$H$137-N157</f>
        <v/>
      </c>
      <c r="O158" s="16">
        <f>O135-$H$137-O157</f>
        <v/>
      </c>
      <c r="P158" s="16">
        <f>P135-$H$137-P157</f>
        <v/>
      </c>
      <c r="Q158" s="16">
        <f>Q135-$H$137-Q157</f>
        <v/>
      </c>
      <c r="R158" s="16">
        <f>R135-$H$137-R157</f>
        <v/>
      </c>
      <c r="S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>
      <c r="A161" s="1" t="n"/>
      <c r="B161" s="5" t="inlineStr">
        <is>
          <t>SECTION 9 — SENSITIVITY ANALYSIS</t>
        </is>
      </c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>
      <c r="A163" s="1" t="n"/>
      <c r="B163" s="1" t="n"/>
      <c r="C163" s="8" t="inlineStr">
        <is>
          <t>MoM SENSITIVITY: Exit Multiple × Exit Year</t>
        </is>
      </c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>
      <c r="A164" s="1" t="n"/>
      <c r="B164" s="1" t="n"/>
      <c r="C164" s="1" t="n"/>
      <c r="D164" s="20" t="inlineStr">
        <is>
          <t>Exit Year →</t>
        </is>
      </c>
      <c r="E164" s="20" t="inlineStr">
        <is>
          <t>Year 3</t>
        </is>
      </c>
      <c r="F164" s="20" t="inlineStr">
        <is>
          <t>Year 4</t>
        </is>
      </c>
      <c r="G164" s="20" t="inlineStr">
        <is>
          <t>Year 5</t>
        </is>
      </c>
      <c r="H164" s="20" t="inlineStr">
        <is>
          <t>Year 6</t>
        </is>
      </c>
      <c r="I164" s="20" t="inlineStr">
        <is>
          <t>Year 7</t>
        </is>
      </c>
      <c r="J164" s="20" t="inlineStr">
        <is>
          <t>Year 8</t>
        </is>
      </c>
      <c r="K164" s="20" t="inlineStr">
        <is>
          <t>Year 10</t>
        </is>
      </c>
      <c r="L164" s="21" t="n"/>
      <c r="M164" s="21" t="n"/>
      <c r="N164" s="21" t="n"/>
      <c r="O164" s="1" t="n"/>
      <c r="P164" s="1" t="n"/>
      <c r="Q164" s="1" t="n"/>
      <c r="R164" s="1" t="n"/>
      <c r="S164" s="1" t="n"/>
    </row>
    <row r="165">
      <c r="A165" s="1" t="n"/>
      <c r="B165" s="1" t="n"/>
      <c r="C165" s="32" t="inlineStr">
        <is>
          <t>4.0x</t>
        </is>
      </c>
      <c r="D165" s="1" t="n"/>
      <c r="E165" s="29">
        <f>IFERROR((K41*4.0-MAX(K100,0))*$E$15/$H$137,"nm")</f>
        <v/>
      </c>
      <c r="F165" s="29">
        <f>IFERROR((L41*4.0-MAX(L100,0))*$E$15/$H$137,"nm")</f>
        <v/>
      </c>
      <c r="G165" s="29">
        <f>IFERROR((M41*4.0-MAX(M100,0))*$E$15/$H$137,"nm")</f>
        <v/>
      </c>
      <c r="H165" s="29">
        <f>IFERROR((N41*4.0-MAX(N100,0))*$E$15/$H$137,"nm")</f>
        <v/>
      </c>
      <c r="I165" s="29">
        <f>IFERROR((O41*4.0-MAX(O100,0))*$E$15/$H$137,"nm")</f>
        <v/>
      </c>
      <c r="J165" s="29">
        <f>IFERROR((P41*4.0-MAX(P100,0))*$E$15/$H$137,"nm")</f>
        <v/>
      </c>
      <c r="K165" s="29">
        <f>IFERROR((R41*4.0-MAX(R100,0))*$E$15/$H$137,"nm")</f>
        <v/>
      </c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>
      <c r="A166" s="1" t="n"/>
      <c r="B166" s="1" t="n"/>
      <c r="C166" s="32" t="inlineStr">
        <is>
          <t>5.0x</t>
        </is>
      </c>
      <c r="D166" s="1" t="n"/>
      <c r="E166" s="29">
        <f>IFERROR((K41*5.0-MAX(K100,0))*$E$15/$H$137,"nm")</f>
        <v/>
      </c>
      <c r="F166" s="29">
        <f>IFERROR((L41*5.0-MAX(L100,0))*$E$15/$H$137,"nm")</f>
        <v/>
      </c>
      <c r="G166" s="29">
        <f>IFERROR((M41*5.0-MAX(M100,0))*$E$15/$H$137,"nm")</f>
        <v/>
      </c>
      <c r="H166" s="29">
        <f>IFERROR((N41*5.0-MAX(N100,0))*$E$15/$H$137,"nm")</f>
        <v/>
      </c>
      <c r="I166" s="29">
        <f>IFERROR((O41*5.0-MAX(O100,0))*$E$15/$H$137,"nm")</f>
        <v/>
      </c>
      <c r="J166" s="29">
        <f>IFERROR((P41*5.0-MAX(P100,0))*$E$15/$H$137,"nm")</f>
        <v/>
      </c>
      <c r="K166" s="29">
        <f>IFERROR((R41*5.0-MAX(R100,0))*$E$15/$H$137,"nm")</f>
        <v/>
      </c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>
      <c r="A167" s="1" t="n"/>
      <c r="B167" s="1" t="n"/>
      <c r="C167" s="32" t="inlineStr">
        <is>
          <t>5.5x</t>
        </is>
      </c>
      <c r="D167" s="1" t="n"/>
      <c r="E167" s="29">
        <f>IFERROR((K41*5.5-MAX(K100,0))*$E$15/$H$137,"nm")</f>
        <v/>
      </c>
      <c r="F167" s="29">
        <f>IFERROR((L41*5.5-MAX(L100,0))*$E$15/$H$137,"nm")</f>
        <v/>
      </c>
      <c r="G167" s="29">
        <f>IFERROR((M41*5.5-MAX(M100,0))*$E$15/$H$137,"nm")</f>
        <v/>
      </c>
      <c r="H167" s="29">
        <f>IFERROR((N41*5.5-MAX(N100,0))*$E$15/$H$137,"nm")</f>
        <v/>
      </c>
      <c r="I167" s="29">
        <f>IFERROR((O41*5.5-MAX(O100,0))*$E$15/$H$137,"nm")</f>
        <v/>
      </c>
      <c r="J167" s="29">
        <f>IFERROR((P41*5.5-MAX(P100,0))*$E$15/$H$137,"nm")</f>
        <v/>
      </c>
      <c r="K167" s="29">
        <f>IFERROR((R41*5.5-MAX(R100,0))*$E$15/$H$137,"nm")</f>
        <v/>
      </c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>
      <c r="A168" s="1" t="n"/>
      <c r="B168" s="1" t="n"/>
      <c r="C168" s="32" t="inlineStr">
        <is>
          <t>6.0x</t>
        </is>
      </c>
      <c r="D168" s="1" t="n"/>
      <c r="E168" s="29">
        <f>IFERROR((K41*6.0-MAX(K100,0))*$E$15/$H$137,"nm")</f>
        <v/>
      </c>
      <c r="F168" s="29">
        <f>IFERROR((L41*6.0-MAX(L100,0))*$E$15/$H$137,"nm")</f>
        <v/>
      </c>
      <c r="G168" s="29">
        <f>IFERROR((M41*6.0-MAX(M100,0))*$E$15/$H$137,"nm")</f>
        <v/>
      </c>
      <c r="H168" s="29">
        <f>IFERROR((N41*6.0-MAX(N100,0))*$E$15/$H$137,"nm")</f>
        <v/>
      </c>
      <c r="I168" s="29">
        <f>IFERROR((O41*6.0-MAX(O100,0))*$E$15/$H$137,"nm")</f>
        <v/>
      </c>
      <c r="J168" s="29">
        <f>IFERROR((P41*6.0-MAX(P100,0))*$E$15/$H$137,"nm")</f>
        <v/>
      </c>
      <c r="K168" s="29">
        <f>IFERROR((R41*6.0-MAX(R100,0))*$E$15/$H$137,"nm")</f>
        <v/>
      </c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>
      <c r="A169" s="1" t="n"/>
      <c r="B169" s="1" t="n"/>
      <c r="C169" s="32" t="inlineStr">
        <is>
          <t>6.5x</t>
        </is>
      </c>
      <c r="D169" s="1" t="n"/>
      <c r="E169" s="29">
        <f>IFERROR((K41*6.5-MAX(K100,0))*$E$15/$H$137,"nm")</f>
        <v/>
      </c>
      <c r="F169" s="29">
        <f>IFERROR((L41*6.5-MAX(L100,0))*$E$15/$H$137,"nm")</f>
        <v/>
      </c>
      <c r="G169" s="29">
        <f>IFERROR((M41*6.5-MAX(M100,0))*$E$15/$H$137,"nm")</f>
        <v/>
      </c>
      <c r="H169" s="29">
        <f>IFERROR((N41*6.5-MAX(N100,0))*$E$15/$H$137,"nm")</f>
        <v/>
      </c>
      <c r="I169" s="29">
        <f>IFERROR((O41*6.5-MAX(O100,0))*$E$15/$H$137,"nm")</f>
        <v/>
      </c>
      <c r="J169" s="29">
        <f>IFERROR((P41*6.5-MAX(P100,0))*$E$15/$H$137,"nm")</f>
        <v/>
      </c>
      <c r="K169" s="29">
        <f>IFERROR((R41*6.5-MAX(R100,0))*$E$15/$H$137,"nm")</f>
        <v/>
      </c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>
      <c r="A170" s="1" t="n"/>
      <c r="B170" s="1" t="n"/>
      <c r="C170" s="32" t="inlineStr">
        <is>
          <t>7.0x</t>
        </is>
      </c>
      <c r="D170" s="1" t="n"/>
      <c r="E170" s="29">
        <f>IFERROR((K41*7.0-MAX(K100,0))*$E$15/$H$137,"nm")</f>
        <v/>
      </c>
      <c r="F170" s="29">
        <f>IFERROR((L41*7.0-MAX(L100,0))*$E$15/$H$137,"nm")</f>
        <v/>
      </c>
      <c r="G170" s="29">
        <f>IFERROR((M41*7.0-MAX(M100,0))*$E$15/$H$137,"nm")</f>
        <v/>
      </c>
      <c r="H170" s="29">
        <f>IFERROR((N41*7.0-MAX(N100,0))*$E$15/$H$137,"nm")</f>
        <v/>
      </c>
      <c r="I170" s="29">
        <f>IFERROR((O41*7.0-MAX(O100,0))*$E$15/$H$137,"nm")</f>
        <v/>
      </c>
      <c r="J170" s="29">
        <f>IFERROR((P41*7.0-MAX(P100,0))*$E$15/$H$137,"nm")</f>
        <v/>
      </c>
      <c r="K170" s="29">
        <f>IFERROR((R41*7.0-MAX(R100,0))*$E$15/$H$137,"nm")</f>
        <v/>
      </c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>
      <c r="A171" s="1" t="n"/>
      <c r="B171" s="1" t="n"/>
      <c r="C171" s="32" t="inlineStr">
        <is>
          <t>8.0x</t>
        </is>
      </c>
      <c r="D171" s="1" t="n"/>
      <c r="E171" s="29">
        <f>IFERROR((K41*8.0-MAX(K100,0))*$E$15/$H$137,"nm")</f>
        <v/>
      </c>
      <c r="F171" s="29">
        <f>IFERROR((L41*8.0-MAX(L100,0))*$E$15/$H$137,"nm")</f>
        <v/>
      </c>
      <c r="G171" s="29">
        <f>IFERROR((M41*8.0-MAX(M100,0))*$E$15/$H$137,"nm")</f>
        <v/>
      </c>
      <c r="H171" s="29">
        <f>IFERROR((N41*8.0-MAX(N100,0))*$E$15/$H$137,"nm")</f>
        <v/>
      </c>
      <c r="I171" s="29">
        <f>IFERROR((O41*8.0-MAX(O100,0))*$E$15/$H$137,"nm")</f>
        <v/>
      </c>
      <c r="J171" s="29">
        <f>IFERROR((P41*8.0-MAX(P100,0))*$E$15/$H$137,"nm")</f>
        <v/>
      </c>
      <c r="K171" s="29">
        <f>IFERROR((R41*8.0-MAX(R100,0))*$E$15/$H$137,"nm")</f>
        <v/>
      </c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>
      <c r="A172" s="1" t="n"/>
      <c r="B172" s="1" t="n"/>
      <c r="C172" s="32" t="inlineStr">
        <is>
          <t>9.0x</t>
        </is>
      </c>
      <c r="D172" s="1" t="n"/>
      <c r="E172" s="29">
        <f>IFERROR((K41*9.0-MAX(K100,0))*$E$15/$H$137,"nm")</f>
        <v/>
      </c>
      <c r="F172" s="29">
        <f>IFERROR((L41*9.0-MAX(L100,0))*$E$15/$H$137,"nm")</f>
        <v/>
      </c>
      <c r="G172" s="29">
        <f>IFERROR((M41*9.0-MAX(M100,0))*$E$15/$H$137,"nm")</f>
        <v/>
      </c>
      <c r="H172" s="29">
        <f>IFERROR((N41*9.0-MAX(N100,0))*$E$15/$H$137,"nm")</f>
        <v/>
      </c>
      <c r="I172" s="29">
        <f>IFERROR((O41*9.0-MAX(O100,0))*$E$15/$H$137,"nm")</f>
        <v/>
      </c>
      <c r="J172" s="29">
        <f>IFERROR((P41*9.0-MAX(P100,0))*$E$15/$H$137,"nm")</f>
        <v/>
      </c>
      <c r="K172" s="29">
        <f>IFERROR((R41*9.0-MAX(R100,0))*$E$15/$H$137,"nm")</f>
        <v/>
      </c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>
      <c r="A173" s="1" t="n"/>
      <c r="B173" s="1" t="n"/>
      <c r="C173" s="32" t="inlineStr">
        <is>
          <t>10.0x</t>
        </is>
      </c>
      <c r="D173" s="1" t="n"/>
      <c r="E173" s="29">
        <f>IFERROR((K41*10.0-MAX(K100,0))*$E$15/$H$137,"nm")</f>
        <v/>
      </c>
      <c r="F173" s="29">
        <f>IFERROR((L41*10.0-MAX(L100,0))*$E$15/$H$137,"nm")</f>
        <v/>
      </c>
      <c r="G173" s="29">
        <f>IFERROR((M41*10.0-MAX(M100,0))*$E$15/$H$137,"nm")</f>
        <v/>
      </c>
      <c r="H173" s="29">
        <f>IFERROR((N41*10.0-MAX(N100,0))*$E$15/$H$137,"nm")</f>
        <v/>
      </c>
      <c r="I173" s="29">
        <f>IFERROR((O41*10.0-MAX(O100,0))*$E$15/$H$137,"nm")</f>
        <v/>
      </c>
      <c r="J173" s="29">
        <f>IFERROR((P41*10.0-MAX(P100,0))*$E$15/$H$137,"nm")</f>
        <v/>
      </c>
      <c r="K173" s="29">
        <f>IFERROR((R41*10.0-MAX(R100,0))*$E$15/$H$137,"nm")</f>
        <v/>
      </c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>
      <c r="A176" s="1" t="n"/>
      <c r="B176" s="1" t="n"/>
      <c r="C176" s="8" t="inlineStr">
        <is>
          <t>IRR SENSITIVITY: Exit Multiple × Exit Year</t>
        </is>
      </c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>
      <c r="A177" s="1" t="n"/>
      <c r="B177" s="1" t="n"/>
      <c r="C177" s="1" t="n"/>
      <c r="D177" s="20" t="inlineStr">
        <is>
          <t>Exit Year →</t>
        </is>
      </c>
      <c r="E177" s="20" t="inlineStr">
        <is>
          <t>Year 3</t>
        </is>
      </c>
      <c r="F177" s="20" t="inlineStr">
        <is>
          <t>Year 4</t>
        </is>
      </c>
      <c r="G177" s="20" t="inlineStr">
        <is>
          <t>Year 5</t>
        </is>
      </c>
      <c r="H177" s="20" t="inlineStr">
        <is>
          <t>Year 6</t>
        </is>
      </c>
      <c r="I177" s="20" t="inlineStr">
        <is>
          <t>Year 7</t>
        </is>
      </c>
      <c r="J177" s="20" t="inlineStr">
        <is>
          <t>Year 8</t>
        </is>
      </c>
      <c r="K177" s="20" t="inlineStr">
        <is>
          <t>Year 10</t>
        </is>
      </c>
      <c r="L177" s="21" t="n"/>
      <c r="M177" s="21" t="n"/>
      <c r="N177" s="21" t="n"/>
      <c r="O177" s="1" t="n"/>
      <c r="P177" s="1" t="n"/>
      <c r="Q177" s="1" t="n"/>
      <c r="R177" s="1" t="n"/>
      <c r="S177" s="1" t="n"/>
    </row>
    <row r="178">
      <c r="A178" s="1" t="n"/>
      <c r="B178" s="1" t="n"/>
      <c r="C178" s="32" t="inlineStr">
        <is>
          <t>4.0x</t>
        </is>
      </c>
      <c r="D178" s="1" t="n"/>
      <c r="E178" s="19">
        <f>IFERROR(E165^(1/3)-1,"nm")</f>
        <v/>
      </c>
      <c r="F178" s="19">
        <f>IFERROR(F165^(1/4)-1,"nm")</f>
        <v/>
      </c>
      <c r="G178" s="19">
        <f>IFERROR(G165^(1/5)-1,"nm")</f>
        <v/>
      </c>
      <c r="H178" s="19">
        <f>IFERROR(H165^(1/6)-1,"nm")</f>
        <v/>
      </c>
      <c r="I178" s="19">
        <f>IFERROR(I165^(1/7)-1,"nm")</f>
        <v/>
      </c>
      <c r="J178" s="19">
        <f>IFERROR(J165^(1/8)-1,"nm")</f>
        <v/>
      </c>
      <c r="K178" s="19">
        <f>IFERROR(K165^(1/10)-1,"nm")</f>
        <v/>
      </c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>
      <c r="A179" s="1" t="n"/>
      <c r="B179" s="1" t="n"/>
      <c r="C179" s="32" t="inlineStr">
        <is>
          <t>5.0x</t>
        </is>
      </c>
      <c r="D179" s="1" t="n"/>
      <c r="E179" s="19">
        <f>IFERROR(E166^(1/3)-1,"nm")</f>
        <v/>
      </c>
      <c r="F179" s="19">
        <f>IFERROR(F166^(1/4)-1,"nm")</f>
        <v/>
      </c>
      <c r="G179" s="19">
        <f>IFERROR(G166^(1/5)-1,"nm")</f>
        <v/>
      </c>
      <c r="H179" s="19">
        <f>IFERROR(H166^(1/6)-1,"nm")</f>
        <v/>
      </c>
      <c r="I179" s="19">
        <f>IFERROR(I166^(1/7)-1,"nm")</f>
        <v/>
      </c>
      <c r="J179" s="19">
        <f>IFERROR(J166^(1/8)-1,"nm")</f>
        <v/>
      </c>
      <c r="K179" s="19">
        <f>IFERROR(K166^(1/10)-1,"nm")</f>
        <v/>
      </c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>
      <c r="A180" s="1" t="n"/>
      <c r="B180" s="1" t="n"/>
      <c r="C180" s="32" t="inlineStr">
        <is>
          <t>5.5x</t>
        </is>
      </c>
      <c r="D180" s="1" t="n"/>
      <c r="E180" s="19">
        <f>IFERROR(E167^(1/3)-1,"nm")</f>
        <v/>
      </c>
      <c r="F180" s="19">
        <f>IFERROR(F167^(1/4)-1,"nm")</f>
        <v/>
      </c>
      <c r="G180" s="19">
        <f>IFERROR(G167^(1/5)-1,"nm")</f>
        <v/>
      </c>
      <c r="H180" s="19">
        <f>IFERROR(H167^(1/6)-1,"nm")</f>
        <v/>
      </c>
      <c r="I180" s="19">
        <f>IFERROR(I167^(1/7)-1,"nm")</f>
        <v/>
      </c>
      <c r="J180" s="19">
        <f>IFERROR(J167^(1/8)-1,"nm")</f>
        <v/>
      </c>
      <c r="K180" s="19">
        <f>IFERROR(K167^(1/10)-1,"nm")</f>
        <v/>
      </c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>
      <c r="A181" s="1" t="n"/>
      <c r="B181" s="1" t="n"/>
      <c r="C181" s="32" t="inlineStr">
        <is>
          <t>6.0x</t>
        </is>
      </c>
      <c r="D181" s="1" t="n"/>
      <c r="E181" s="19">
        <f>IFERROR(E168^(1/3)-1,"nm")</f>
        <v/>
      </c>
      <c r="F181" s="19">
        <f>IFERROR(F168^(1/4)-1,"nm")</f>
        <v/>
      </c>
      <c r="G181" s="19">
        <f>IFERROR(G168^(1/5)-1,"nm")</f>
        <v/>
      </c>
      <c r="H181" s="19">
        <f>IFERROR(H168^(1/6)-1,"nm")</f>
        <v/>
      </c>
      <c r="I181" s="19">
        <f>IFERROR(I168^(1/7)-1,"nm")</f>
        <v/>
      </c>
      <c r="J181" s="19">
        <f>IFERROR(J168^(1/8)-1,"nm")</f>
        <v/>
      </c>
      <c r="K181" s="19">
        <f>IFERROR(K168^(1/10)-1,"nm")</f>
        <v/>
      </c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>
      <c r="A182" s="1" t="n"/>
      <c r="B182" s="1" t="n"/>
      <c r="C182" s="32" t="inlineStr">
        <is>
          <t>6.5x</t>
        </is>
      </c>
      <c r="D182" s="1" t="n"/>
      <c r="E182" s="19">
        <f>IFERROR(E169^(1/3)-1,"nm")</f>
        <v/>
      </c>
      <c r="F182" s="19">
        <f>IFERROR(F169^(1/4)-1,"nm")</f>
        <v/>
      </c>
      <c r="G182" s="19">
        <f>IFERROR(G169^(1/5)-1,"nm")</f>
        <v/>
      </c>
      <c r="H182" s="19">
        <f>IFERROR(H169^(1/6)-1,"nm")</f>
        <v/>
      </c>
      <c r="I182" s="19">
        <f>IFERROR(I169^(1/7)-1,"nm")</f>
        <v/>
      </c>
      <c r="J182" s="19">
        <f>IFERROR(J169^(1/8)-1,"nm")</f>
        <v/>
      </c>
      <c r="K182" s="19">
        <f>IFERROR(K169^(1/10)-1,"nm")</f>
        <v/>
      </c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>
      <c r="A183" s="1" t="n"/>
      <c r="B183" s="1" t="n"/>
      <c r="C183" s="32" t="inlineStr">
        <is>
          <t>7.0x</t>
        </is>
      </c>
      <c r="D183" s="1" t="n"/>
      <c r="E183" s="19">
        <f>IFERROR(E170^(1/3)-1,"nm")</f>
        <v/>
      </c>
      <c r="F183" s="19">
        <f>IFERROR(F170^(1/4)-1,"nm")</f>
        <v/>
      </c>
      <c r="G183" s="19">
        <f>IFERROR(G170^(1/5)-1,"nm")</f>
        <v/>
      </c>
      <c r="H183" s="19">
        <f>IFERROR(H170^(1/6)-1,"nm")</f>
        <v/>
      </c>
      <c r="I183" s="19">
        <f>IFERROR(I170^(1/7)-1,"nm")</f>
        <v/>
      </c>
      <c r="J183" s="19">
        <f>IFERROR(J170^(1/8)-1,"nm")</f>
        <v/>
      </c>
      <c r="K183" s="19">
        <f>IFERROR(K170^(1/10)-1,"nm")</f>
        <v/>
      </c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>
      <c r="A184" s="1" t="n"/>
      <c r="B184" s="1" t="n"/>
      <c r="C184" s="32" t="inlineStr">
        <is>
          <t>8.0x</t>
        </is>
      </c>
      <c r="D184" s="1" t="n"/>
      <c r="E184" s="19">
        <f>IFERROR(E171^(1/3)-1,"nm")</f>
        <v/>
      </c>
      <c r="F184" s="19">
        <f>IFERROR(F171^(1/4)-1,"nm")</f>
        <v/>
      </c>
      <c r="G184" s="19">
        <f>IFERROR(G171^(1/5)-1,"nm")</f>
        <v/>
      </c>
      <c r="H184" s="19">
        <f>IFERROR(H171^(1/6)-1,"nm")</f>
        <v/>
      </c>
      <c r="I184" s="19">
        <f>IFERROR(I171^(1/7)-1,"nm")</f>
        <v/>
      </c>
      <c r="J184" s="19">
        <f>IFERROR(J171^(1/8)-1,"nm")</f>
        <v/>
      </c>
      <c r="K184" s="19">
        <f>IFERROR(K171^(1/10)-1,"nm")</f>
        <v/>
      </c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>
      <c r="A185" s="1" t="n"/>
      <c r="B185" s="1" t="n"/>
      <c r="C185" s="32" t="inlineStr">
        <is>
          <t>9.0x</t>
        </is>
      </c>
      <c r="D185" s="1" t="n"/>
      <c r="E185" s="19">
        <f>IFERROR(E172^(1/3)-1,"nm")</f>
        <v/>
      </c>
      <c r="F185" s="19">
        <f>IFERROR(F172^(1/4)-1,"nm")</f>
        <v/>
      </c>
      <c r="G185" s="19">
        <f>IFERROR(G172^(1/5)-1,"nm")</f>
        <v/>
      </c>
      <c r="H185" s="19">
        <f>IFERROR(H172^(1/6)-1,"nm")</f>
        <v/>
      </c>
      <c r="I185" s="19">
        <f>IFERROR(I172^(1/7)-1,"nm")</f>
        <v/>
      </c>
      <c r="J185" s="19">
        <f>IFERROR(J172^(1/8)-1,"nm")</f>
        <v/>
      </c>
      <c r="K185" s="19">
        <f>IFERROR(K172^(1/10)-1,"nm")</f>
        <v/>
      </c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>
      <c r="A186" s="1" t="n"/>
      <c r="B186" s="1" t="n"/>
      <c r="C186" s="32" t="inlineStr">
        <is>
          <t>10.0x</t>
        </is>
      </c>
      <c r="D186" s="1" t="n"/>
      <c r="E186" s="19">
        <f>IFERROR(E173^(1/3)-1,"nm")</f>
        <v/>
      </c>
      <c r="F186" s="19">
        <f>IFERROR(F173^(1/4)-1,"nm")</f>
        <v/>
      </c>
      <c r="G186" s="19">
        <f>IFERROR(G173^(1/5)-1,"nm")</f>
        <v/>
      </c>
      <c r="H186" s="19">
        <f>IFERROR(H173^(1/6)-1,"nm")</f>
        <v/>
      </c>
      <c r="I186" s="19">
        <f>IFERROR(I173^(1/7)-1,"nm")</f>
        <v/>
      </c>
      <c r="J186" s="19">
        <f>IFERROR(J173^(1/8)-1,"nm")</f>
        <v/>
      </c>
      <c r="K186" s="19">
        <f>IFERROR(K173^(1/10)-1,"nm")</f>
        <v/>
      </c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>
      <c r="A189" s="1" t="n"/>
      <c r="B189" s="1" t="n"/>
      <c r="C189" s="8" t="inlineStr">
        <is>
          <t>MoM SENSITIVITY: Haircut % (Year 5 Exit, 6.0x)</t>
        </is>
      </c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>
      <c r="A190" s="1" t="n"/>
      <c r="B190" s="1" t="n"/>
      <c r="C190" s="1" t="n"/>
      <c r="D190" s="21" t="n"/>
      <c r="E190" s="20" t="inlineStr">
        <is>
          <t>25%</t>
        </is>
      </c>
      <c r="F190" s="20" t="inlineStr">
        <is>
          <t>30%</t>
        </is>
      </c>
      <c r="G190" s="20" t="inlineStr">
        <is>
          <t>35%</t>
        </is>
      </c>
      <c r="H190" s="20" t="inlineStr">
        <is>
          <t>40%</t>
        </is>
      </c>
      <c r="I190" s="20" t="inlineStr">
        <is>
          <t>45%</t>
        </is>
      </c>
      <c r="J190" s="20" t="inlineStr">
        <is>
          <t>50%</t>
        </is>
      </c>
      <c r="K190" s="20" t="inlineStr">
        <is>
          <t>55%</t>
        </is>
      </c>
      <c r="L190" s="20" t="inlineStr">
        <is>
          <t>60%</t>
        </is>
      </c>
      <c r="M190" s="21" t="n"/>
      <c r="N190" s="21" t="n"/>
      <c r="O190" s="1" t="n"/>
      <c r="P190" s="1" t="n"/>
      <c r="Q190" s="1" t="n"/>
      <c r="R190" s="1" t="n"/>
      <c r="S190" s="1" t="n"/>
    </row>
    <row r="191">
      <c r="A191" s="1" t="n"/>
      <c r="B191" s="1" t="n"/>
      <c r="C191" s="9" t="inlineStr">
        <is>
          <t>Acq Price</t>
        </is>
      </c>
      <c r="D191" s="1" t="n"/>
      <c r="E191" s="14" t="n">
        <v>15236.175</v>
      </c>
      <c r="F191" s="14" t="n">
        <v>14220.43</v>
      </c>
      <c r="G191" s="14" t="n">
        <v>13204.685</v>
      </c>
      <c r="H191" s="14" t="n">
        <v>12188.94</v>
      </c>
      <c r="I191" s="14" t="n">
        <v>11173.195</v>
      </c>
      <c r="J191" s="14" t="n">
        <v>10157.45</v>
      </c>
      <c r="K191" s="14" t="n">
        <v>9141.705</v>
      </c>
      <c r="L191" s="14" t="n">
        <v>8125.960000000001</v>
      </c>
      <c r="M191" s="1" t="n"/>
      <c r="N191" s="1" t="n"/>
      <c r="O191" s="1" t="n"/>
      <c r="P191" s="1" t="n"/>
      <c r="Q191" s="1" t="n"/>
      <c r="R191" s="1" t="n"/>
      <c r="S191" s="1" t="n"/>
    </row>
    <row r="192">
      <c r="A192" s="1" t="n"/>
      <c r="B192" s="1" t="n"/>
      <c r="C192" s="9" t="inlineStr">
        <is>
          <t>ALiF Cash In</t>
        </is>
      </c>
      <c r="D192" s="1" t="n"/>
      <c r="E192" s="14" t="n">
        <v>17736.175</v>
      </c>
      <c r="F192" s="14" t="n">
        <v>16720.43</v>
      </c>
      <c r="G192" s="14" t="n">
        <v>15704.685</v>
      </c>
      <c r="H192" s="14" t="n">
        <v>14688.94</v>
      </c>
      <c r="I192" s="14" t="n">
        <v>13673.195</v>
      </c>
      <c r="J192" s="14" t="n">
        <v>12657.45</v>
      </c>
      <c r="K192" s="14" t="n">
        <v>11641.705</v>
      </c>
      <c r="L192" s="14" t="n">
        <v>10625.96</v>
      </c>
      <c r="M192" s="1" t="n"/>
      <c r="N192" s="1" t="n"/>
      <c r="O192" s="1" t="n"/>
      <c r="P192" s="1" t="n"/>
      <c r="Q192" s="1" t="n"/>
      <c r="R192" s="1" t="n"/>
      <c r="S192" s="1" t="n"/>
    </row>
    <row r="193">
      <c r="A193" s="1" t="n"/>
      <c r="B193" s="1" t="n"/>
      <c r="C193" s="9" t="inlineStr">
        <is>
          <t>Year 5 Equity (85%)</t>
        </is>
      </c>
      <c r="D193" s="1" t="n"/>
      <c r="E193" s="14">
        <f>M134*$E$15</f>
        <v/>
      </c>
      <c r="F193" s="14">
        <f>M134*$E$15</f>
        <v/>
      </c>
      <c r="G193" s="14">
        <f>M134*$E$15</f>
        <v/>
      </c>
      <c r="H193" s="14">
        <f>M134*$E$15</f>
        <v/>
      </c>
      <c r="I193" s="14">
        <f>M134*$E$15</f>
        <v/>
      </c>
      <c r="J193" s="14">
        <f>M134*$E$15</f>
        <v/>
      </c>
      <c r="K193" s="14">
        <f>M134*$E$15</f>
        <v/>
      </c>
      <c r="L193" s="14">
        <f>M134*$E$15</f>
        <v/>
      </c>
      <c r="M193" s="1" t="n"/>
      <c r="N193" s="1" t="n"/>
      <c r="O193" s="1" t="n"/>
      <c r="P193" s="1" t="n"/>
      <c r="Q193" s="1" t="n"/>
      <c r="R193" s="1" t="n"/>
      <c r="S193" s="1" t="n"/>
    </row>
    <row r="194">
      <c r="A194" s="1" t="n"/>
      <c r="B194" s="1" t="n"/>
      <c r="C194" s="15" t="inlineStr">
        <is>
          <t>MoM</t>
        </is>
      </c>
      <c r="D194" s="1" t="n"/>
      <c r="E194" s="28">
        <f>IFERROR(E193/E192,"nm")</f>
        <v/>
      </c>
      <c r="F194" s="28">
        <f>IFERROR(F193/F192,"nm")</f>
        <v/>
      </c>
      <c r="G194" s="28">
        <f>IFERROR(G193/G192,"nm")</f>
        <v/>
      </c>
      <c r="H194" s="28">
        <f>IFERROR(H193/H192,"nm")</f>
        <v/>
      </c>
      <c r="I194" s="28">
        <f>IFERROR(I193/I192,"nm")</f>
        <v/>
      </c>
      <c r="J194" s="28">
        <f>IFERROR(J193/J192,"nm")</f>
        <v/>
      </c>
      <c r="K194" s="28">
        <f>IFERROR(K193/K192,"nm")</f>
        <v/>
      </c>
      <c r="L194" s="28">
        <f>IFERROR(L193/L192,"nm")</f>
        <v/>
      </c>
      <c r="M194" s="1" t="n"/>
      <c r="N194" s="1" t="n"/>
      <c r="O194" s="1" t="n"/>
      <c r="P194" s="1" t="n"/>
      <c r="Q194" s="1" t="n"/>
      <c r="R194" s="1" t="n"/>
      <c r="S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>
      <c r="A197" s="1" t="n"/>
      <c r="B197" s="5" t="inlineStr">
        <is>
          <t>SECTION 10 — SRFF-I v4.0 VERDICT: PRE vs. POST RESTRUCTURING</t>
        </is>
      </c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>
      <c r="A199" s="1" t="n"/>
      <c r="B199" s="1" t="n"/>
      <c r="C199" s="20" t="inlineStr">
        <is>
          <t>Metric</t>
        </is>
      </c>
      <c r="D199" s="21" t="n"/>
      <c r="E199" s="21" t="n"/>
      <c r="F199" s="21" t="n"/>
      <c r="G199" s="21" t="n"/>
      <c r="H199" s="20" t="inlineStr">
        <is>
          <t>Pre-Restructuring</t>
        </is>
      </c>
      <c r="I199" s="21" t="n"/>
      <c r="J199" s="21" t="n"/>
      <c r="K199" s="20" t="inlineStr">
        <is>
          <t>Post-Restr. (Year 3)</t>
        </is>
      </c>
      <c r="L199" s="21" t="n"/>
      <c r="M199" s="21" t="n"/>
      <c r="N199" s="20" t="inlineStr">
        <is>
          <t>Post-Restr. (Year 5)</t>
        </is>
      </c>
      <c r="O199" s="21" t="n"/>
      <c r="P199" s="21" t="n"/>
      <c r="Q199" s="21" t="n"/>
      <c r="R199" s="21" t="n"/>
      <c r="S199" s="2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>
      <c r="A201" s="1" t="n"/>
      <c r="B201" s="1" t="n"/>
      <c r="C201" s="9" t="inlineStr">
        <is>
          <t>Total Debt (OMR '000)</t>
        </is>
      </c>
      <c r="D201" s="1" t="n"/>
      <c r="E201" s="1" t="n"/>
      <c r="F201" s="1" t="n"/>
      <c r="G201" s="1" t="n"/>
      <c r="H201" s="14" t="n">
        <v>20314.9</v>
      </c>
      <c r="I201" s="1" t="n"/>
      <c r="J201" s="1" t="n"/>
      <c r="K201" s="27">
        <f>K100</f>
        <v/>
      </c>
      <c r="L201" s="1" t="n"/>
      <c r="M201" s="1" t="n"/>
      <c r="N201" s="27">
        <f>M100</f>
        <v/>
      </c>
      <c r="O201" s="1" t="n"/>
      <c r="P201" s="1" t="n"/>
      <c r="Q201" s="1" t="n"/>
      <c r="R201" s="1" t="n"/>
      <c r="S201" s="1" t="n"/>
    </row>
    <row r="202">
      <c r="A202" s="1" t="n"/>
      <c r="B202" s="1" t="n"/>
      <c r="C202" s="9" t="inlineStr">
        <is>
          <t>Debt / Total Assets</t>
        </is>
      </c>
      <c r="D202" s="1" t="n"/>
      <c r="E202" s="1" t="n"/>
      <c r="F202" s="1" t="n"/>
      <c r="G202" s="1" t="n"/>
      <c r="H202" s="14" t="inlineStr">
        <is>
          <t>89.1%</t>
        </is>
      </c>
      <c r="I202" s="1" t="n"/>
      <c r="J202" s="1" t="n"/>
      <c r="K202" s="31">
        <f>K100/22803</f>
        <v/>
      </c>
      <c r="L202" s="1" t="n"/>
      <c r="M202" s="1" t="n"/>
      <c r="N202" s="31">
        <f>M100/22803</f>
        <v/>
      </c>
      <c r="O202" s="1" t="n"/>
      <c r="P202" s="1" t="n"/>
      <c r="Q202" s="1" t="n"/>
      <c r="R202" s="1" t="n"/>
      <c r="S202" s="1" t="n"/>
    </row>
    <row r="203">
      <c r="A203" s="1" t="n"/>
      <c r="B203" s="1" t="n"/>
      <c r="C203" s="9" t="inlineStr">
        <is>
          <t>EBITDA (OMR '000)</t>
        </is>
      </c>
      <c r="D203" s="1" t="n"/>
      <c r="E203" s="1" t="n"/>
      <c r="F203" s="1" t="n"/>
      <c r="G203" s="1" t="n"/>
      <c r="H203" s="14" t="n">
        <v>18</v>
      </c>
      <c r="I203" s="1" t="n"/>
      <c r="J203" s="1" t="n"/>
      <c r="K203" s="27">
        <f>K41</f>
        <v/>
      </c>
      <c r="L203" s="1" t="n"/>
      <c r="M203" s="1" t="n"/>
      <c r="N203" s="27">
        <f>M41</f>
        <v/>
      </c>
      <c r="O203" s="1" t="n"/>
      <c r="P203" s="1" t="n"/>
      <c r="Q203" s="1" t="n"/>
      <c r="R203" s="1" t="n"/>
      <c r="S203" s="1" t="n"/>
    </row>
    <row r="204">
      <c r="A204" s="1" t="n"/>
      <c r="B204" s="1" t="n"/>
      <c r="C204" s="9" t="inlineStr">
        <is>
          <t>EBITDA Margin</t>
        </is>
      </c>
      <c r="D204" s="1" t="n"/>
      <c r="E204" s="1" t="n"/>
      <c r="F204" s="1" t="n"/>
      <c r="G204" s="1" t="n"/>
      <c r="H204" s="14" t="inlineStr">
        <is>
          <t>0.2%</t>
        </is>
      </c>
      <c r="I204" s="1" t="n"/>
      <c r="J204" s="1" t="n"/>
      <c r="K204" s="31">
        <f>K40</f>
        <v/>
      </c>
      <c r="L204" s="1" t="n"/>
      <c r="M204" s="1" t="n"/>
      <c r="N204" s="31">
        <f>M40</f>
        <v/>
      </c>
      <c r="O204" s="1" t="n"/>
      <c r="P204" s="1" t="n"/>
      <c r="Q204" s="1" t="n"/>
      <c r="R204" s="1" t="n"/>
      <c r="S204" s="1" t="n"/>
    </row>
    <row r="205">
      <c r="A205" s="1" t="n"/>
      <c r="B205" s="1" t="n"/>
      <c r="C205" s="9" t="inlineStr">
        <is>
          <t>Interest Coverage (ICR)</t>
        </is>
      </c>
      <c r="D205" s="1" t="n"/>
      <c r="E205" s="1" t="n"/>
      <c r="F205" s="1" t="n"/>
      <c r="G205" s="1" t="n"/>
      <c r="H205" s="14" t="n">
        <v>1.13</v>
      </c>
      <c r="I205" s="1" t="n"/>
      <c r="J205" s="1" t="n"/>
      <c r="K205" s="28">
        <f>IFERROR(K41/K101,"nm")</f>
        <v/>
      </c>
      <c r="L205" s="1" t="n"/>
      <c r="M205" s="1" t="n"/>
      <c r="N205" s="28">
        <f>IFERROR(M41/M101,"nm")</f>
        <v/>
      </c>
      <c r="O205" s="1" t="n"/>
      <c r="P205" s="1" t="n"/>
      <c r="Q205" s="1" t="n"/>
      <c r="R205" s="1" t="n"/>
      <c r="S205" s="1" t="n"/>
    </row>
    <row r="206">
      <c r="A206" s="1" t="n"/>
      <c r="B206" s="1" t="n"/>
      <c r="C206" s="9" t="inlineStr">
        <is>
          <t>Leverage (Debt/EBITDA)</t>
        </is>
      </c>
      <c r="D206" s="1" t="n"/>
      <c r="E206" s="1" t="n"/>
      <c r="F206" s="1" t="n"/>
      <c r="G206" s="1" t="n"/>
      <c r="H206" s="14" t="inlineStr">
        <is>
          <t>nm</t>
        </is>
      </c>
      <c r="I206" s="1" t="n"/>
      <c r="J206" s="1" t="n"/>
      <c r="K206" s="28">
        <f>IFERROR(K100/K41,"nm")</f>
        <v/>
      </c>
      <c r="L206" s="1" t="n"/>
      <c r="M206" s="1" t="n"/>
      <c r="N206" s="28">
        <f>IFERROR(M100/M41,"nm")</f>
        <v/>
      </c>
      <c r="O206" s="1" t="n"/>
      <c r="P206" s="1" t="n"/>
      <c r="Q206" s="1" t="n"/>
      <c r="R206" s="1" t="n"/>
      <c r="S206" s="1" t="n"/>
    </row>
    <row r="207">
      <c r="A207" s="1" t="n"/>
      <c r="B207" s="1" t="n"/>
      <c r="C207" s="9" t="inlineStr">
        <is>
          <t>Shariah Compliant?</t>
        </is>
      </c>
      <c r="D207" s="1" t="n"/>
      <c r="E207" s="1" t="n"/>
      <c r="F207" s="1" t="n"/>
      <c r="G207" s="1" t="n"/>
      <c r="H207" s="14" t="inlineStr">
        <is>
          <t>NO (89.1%)</t>
        </is>
      </c>
      <c r="I207" s="1" t="n"/>
      <c r="J207" s="1" t="n"/>
      <c r="K207" s="28">
        <f>K115</f>
        <v/>
      </c>
      <c r="L207" s="1" t="n"/>
      <c r="M207" s="1" t="n"/>
      <c r="N207" s="28">
        <f>M115</f>
        <v/>
      </c>
      <c r="O207" s="1" t="n"/>
      <c r="P207" s="1" t="n"/>
      <c r="Q207" s="1" t="n"/>
      <c r="R207" s="1" t="n"/>
      <c r="S207" s="1" t="n"/>
    </row>
    <row r="208">
      <c r="A208" s="1" t="n"/>
      <c r="B208" s="1" t="n"/>
      <c r="C208" s="9" t="inlineStr">
        <is>
          <t>Synthetic Rating</t>
        </is>
      </c>
      <c r="D208" s="1" t="n"/>
      <c r="E208" s="1" t="n"/>
      <c r="F208" s="1" t="n"/>
      <c r="G208" s="1" t="n"/>
      <c r="H208" s="14" t="inlineStr">
        <is>
          <t>CCC</t>
        </is>
      </c>
      <c r="I208" s="1" t="n"/>
      <c r="J208" s="1" t="n"/>
      <c r="K208" s="28">
        <f>K116</f>
        <v/>
      </c>
      <c r="L208" s="1" t="n"/>
      <c r="M208" s="1" t="n"/>
      <c r="N208" s="28">
        <f>M116</f>
        <v/>
      </c>
      <c r="O208" s="1" t="n"/>
      <c r="P208" s="1" t="n"/>
      <c r="Q208" s="1" t="n"/>
      <c r="R208" s="1" t="n"/>
      <c r="S208" s="1" t="n"/>
    </row>
    <row r="209">
      <c r="A209" s="1" t="n"/>
      <c r="B209" s="1" t="n"/>
      <c r="C209" s="9" t="inlineStr">
        <is>
          <t>SRFF-I Composite V4</t>
        </is>
      </c>
      <c r="D209" s="1" t="n"/>
      <c r="E209" s="1" t="n"/>
      <c r="F209" s="1" t="n"/>
      <c r="G209" s="1" t="n"/>
      <c r="H209" s="14" t="inlineStr">
        <is>
          <t>24.16% — NO-GO</t>
        </is>
      </c>
      <c r="I209" s="1" t="n"/>
      <c r="J209" s="1" t="n"/>
      <c r="K209" s="27" t="inlineStr">
        <is>
          <t>Recalculate</t>
        </is>
      </c>
      <c r="L209" s="1" t="n"/>
      <c r="M209" s="1" t="n"/>
      <c r="N209" s="27" t="inlineStr">
        <is>
          <t>Recalculate</t>
        </is>
      </c>
      <c r="O209" s="1" t="n"/>
      <c r="P209" s="1" t="n"/>
      <c r="Q209" s="1" t="n"/>
      <c r="R209" s="1" t="n"/>
      <c r="S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>
      <c r="A212" s="1" t="n"/>
      <c r="B212" s="1" t="n"/>
      <c r="C212" s="8" t="inlineStr">
        <is>
          <t>MURSHIDI AI — DEAL ARCHITECT VERDICT</t>
        </is>
      </c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>
      <c r="A213" s="1" t="n"/>
      <c r="B213" s="1" t="n"/>
      <c r="C213" s="33" t="inlineStr">
        <is>
          <t>Pattern: NPI's equity is worthless, but the pharma business generates real cash flow post-turnaround.</t>
        </is>
      </c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>
      <c r="A214" s="1" t="n"/>
      <c r="B214" s="1" t="n"/>
      <c r="C214" s="33" t="inlineStr">
        <is>
          <t>Structure: The capital structure is the disease, not the business. Balance sheet surgery restores Shariah compliance by Year 2-3.</t>
        </is>
      </c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>
      <c r="A215" s="1" t="n"/>
      <c r="B215" s="1" t="n"/>
      <c r="C215" s="33" t="inlineStr">
        <is>
          <t>Revealed Value: At 45% haircut, ALiF enters at OMR 13.7M for a business worth OMR 23M+ at exit. The deleverage alone creates OMR 6.4M of equity value.</t>
        </is>
      </c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>
      <c r="A218" s="1" t="n"/>
      <c r="B218" s="1" t="n"/>
      <c r="C218" s="4" t="inlineStr">
        <is>
          <t>Powered by MURSHIDI Ai — Solving Patterns, Revealing Value</t>
        </is>
      </c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>
      <c r="A219" s="1" t="n"/>
      <c r="B219" s="1" t="n"/>
      <c r="C219" s="34" t="inlineStr">
        <is>
          <t>This analysis was prepared with the assistance of Murshidi AI. All conclusions represent analytical outputs and do not constitute financial advice.</t>
        </is>
      </c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843"/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28" customWidth="1" min="3" max="3"/>
    <col width="14" customWidth="1" min="4" max="4"/>
    <col width="13" customWidth="1" min="5" max="5"/>
    <col width="11" customWidth="1" min="6" max="6"/>
    <col width="11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5" t="inlineStr">
        <is>
          <t>MURSHIDI AI — DEAL STRUCTURE COMPARISON: v1 vs. v2 (Optimized)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n"/>
      <c r="B4" s="1" t="n"/>
      <c r="C4" s="20" t="inlineStr">
        <is>
          <t>Metric</t>
        </is>
      </c>
      <c r="D4" s="21" t="n"/>
      <c r="E4" s="21" t="n"/>
      <c r="F4" s="20" t="inlineStr">
        <is>
          <t>v1 (Original)</t>
        </is>
      </c>
      <c r="G4" s="21" t="n"/>
      <c r="H4" s="21" t="n"/>
      <c r="I4" s="21" t="n"/>
      <c r="J4" s="20" t="inlineStr">
        <is>
          <t>v2 (Murshidi)</t>
        </is>
      </c>
      <c r="K4" s="21" t="n"/>
      <c r="L4" s="21" t="n"/>
      <c r="M4" s="21" t="n"/>
      <c r="N4" s="20" t="inlineStr">
        <is>
          <t>Delta</t>
        </is>
      </c>
      <c r="O4" s="21" t="n"/>
      <c r="P4" s="21" t="n"/>
      <c r="Q4" s="21" t="n"/>
      <c r="R4" s="21" t="n"/>
      <c r="S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n"/>
      <c r="B6" s="1" t="n"/>
      <c r="C6" s="9" t="inlineStr">
        <is>
          <t>Negotiated Haircut</t>
        </is>
      </c>
      <c r="D6" s="1" t="n"/>
      <c r="E6" s="1" t="n"/>
      <c r="F6" s="14" t="inlineStr">
        <is>
          <t>27.46%</t>
        </is>
      </c>
      <c r="G6" s="1" t="n"/>
      <c r="H6" s="1" t="n"/>
      <c r="I6" s="1" t="n"/>
      <c r="J6" s="27" t="inlineStr">
        <is>
          <t>45.0%</t>
        </is>
      </c>
      <c r="K6" s="1" t="n"/>
      <c r="L6" s="1" t="n"/>
      <c r="M6" s="1" t="n"/>
      <c r="N6" s="16" t="inlineStr">
        <is>
          <t>+17.5pp</t>
        </is>
      </c>
      <c r="O6" s="1" t="n"/>
      <c r="P6" s="1" t="n"/>
      <c r="Q6" s="1" t="n"/>
      <c r="R6" s="1" t="n"/>
      <c r="S6" s="1" t="n"/>
    </row>
    <row r="7">
      <c r="A7" s="1" t="n"/>
      <c r="B7" s="1" t="n"/>
      <c r="C7" s="9" t="inlineStr">
        <is>
          <t>Debt Acquisition Price</t>
        </is>
      </c>
      <c r="D7" s="1" t="n"/>
      <c r="E7" s="1" t="n"/>
      <c r="F7" s="14" t="n">
        <v>14736.4</v>
      </c>
      <c r="G7" s="1" t="n"/>
      <c r="H7" s="1" t="n"/>
      <c r="I7" s="1" t="n"/>
      <c r="J7" s="27" t="n">
        <v>11173.2</v>
      </c>
      <c r="K7" s="1" t="n"/>
      <c r="L7" s="1" t="n"/>
      <c r="M7" s="1" t="n"/>
      <c r="N7" s="16" t="n">
        <v>-3563.2</v>
      </c>
      <c r="O7" s="1" t="n"/>
      <c r="P7" s="1" t="n"/>
      <c r="Q7" s="1" t="n"/>
      <c r="R7" s="1" t="n"/>
      <c r="S7" s="1" t="n"/>
    </row>
    <row r="8">
      <c r="A8" s="1" t="n"/>
      <c r="B8" s="1" t="n"/>
      <c r="C8" s="9" t="inlineStr">
        <is>
          <t>Rescue Tranche (new cash)</t>
        </is>
      </c>
      <c r="D8" s="1" t="n"/>
      <c r="E8" s="1" t="n"/>
      <c r="F8" s="14" t="n">
        <v>2500</v>
      </c>
      <c r="G8" s="1" t="n"/>
      <c r="H8" s="1" t="n"/>
      <c r="I8" s="1" t="n"/>
      <c r="J8" s="27" t="n">
        <v>2500</v>
      </c>
      <c r="K8" s="1" t="n"/>
      <c r="L8" s="1" t="n"/>
      <c r="M8" s="1" t="n"/>
      <c r="N8" s="16" t="n">
        <v>0</v>
      </c>
      <c r="O8" s="1" t="n"/>
      <c r="P8" s="1" t="n"/>
      <c r="Q8" s="1" t="n"/>
      <c r="R8" s="1" t="n"/>
      <c r="S8" s="1" t="n"/>
    </row>
    <row r="9">
      <c r="A9" s="1" t="n"/>
      <c r="B9" s="1" t="n"/>
      <c r="C9" s="9" t="inlineStr">
        <is>
          <t>Total ALiF Cash Investment</t>
        </is>
      </c>
      <c r="D9" s="1" t="n"/>
      <c r="E9" s="1" t="n"/>
      <c r="F9" s="14" t="n">
        <v>17236.4</v>
      </c>
      <c r="G9" s="1" t="n"/>
      <c r="H9" s="1" t="n"/>
      <c r="I9" s="1" t="n"/>
      <c r="J9" s="27" t="n">
        <v>13673.2</v>
      </c>
      <c r="K9" s="1" t="n"/>
      <c r="L9" s="1" t="n"/>
      <c r="M9" s="1" t="n"/>
      <c r="N9" s="16" t="n">
        <v>-3563.2</v>
      </c>
      <c r="O9" s="1" t="n"/>
      <c r="P9" s="1" t="n"/>
      <c r="Q9" s="1" t="n"/>
      <c r="R9" s="1" t="n"/>
      <c r="S9" s="1" t="n"/>
    </row>
    <row r="10">
      <c r="A10" s="1" t="n"/>
      <c r="B10" s="1" t="n"/>
      <c r="C10" s="9" t="inlineStr">
        <is>
          <t>Retained Senior Debt</t>
        </is>
      </c>
      <c r="D10" s="1" t="n"/>
      <c r="E10" s="1" t="n"/>
      <c r="F10" s="14" t="n">
        <v>7500</v>
      </c>
      <c r="G10" s="1" t="n"/>
      <c r="H10" s="1" t="n"/>
      <c r="I10" s="1" t="n"/>
      <c r="J10" s="27" t="n">
        <v>5000</v>
      </c>
      <c r="K10" s="1" t="n"/>
      <c r="L10" s="1" t="n"/>
      <c r="M10" s="1" t="n"/>
      <c r="N10" s="16" t="n">
        <v>-2500</v>
      </c>
      <c r="O10" s="1" t="n"/>
      <c r="P10" s="1" t="n"/>
      <c r="Q10" s="1" t="n"/>
      <c r="R10" s="1" t="n"/>
      <c r="S10" s="1" t="n"/>
    </row>
    <row r="11">
      <c r="A11" s="1" t="n"/>
      <c r="B11" s="1" t="n"/>
      <c r="C11" s="9" t="inlineStr">
        <is>
          <t>Post-Restr. Total Debt</t>
        </is>
      </c>
      <c r="D11" s="1" t="n"/>
      <c r="E11" s="1" t="n"/>
      <c r="F11" s="14" t="n">
        <v>10000</v>
      </c>
      <c r="G11" s="1" t="n"/>
      <c r="H11" s="1" t="n"/>
      <c r="I11" s="1" t="n"/>
      <c r="J11" s="27" t="n">
        <v>7500</v>
      </c>
      <c r="K11" s="1" t="n"/>
      <c r="L11" s="1" t="n"/>
      <c r="M11" s="1" t="n"/>
      <c r="N11" s="16" t="n">
        <v>-2500</v>
      </c>
      <c r="O11" s="1" t="n"/>
      <c r="P11" s="1" t="n"/>
      <c r="Q11" s="1" t="n"/>
      <c r="R11" s="1" t="n"/>
      <c r="S11" s="1" t="n"/>
    </row>
    <row r="12">
      <c r="A12" s="1" t="n"/>
      <c r="B12" s="1" t="n"/>
      <c r="C12" s="9" t="inlineStr">
        <is>
          <t>ALiF Ownership</t>
        </is>
      </c>
      <c r="D12" s="1" t="n"/>
      <c r="E12" s="1" t="n"/>
      <c r="F12" s="14" t="inlineStr">
        <is>
          <t>80%</t>
        </is>
      </c>
      <c r="G12" s="1" t="n"/>
      <c r="H12" s="1" t="n"/>
      <c r="I12" s="1" t="n"/>
      <c r="J12" s="27" t="inlineStr">
        <is>
          <t>85%</t>
        </is>
      </c>
      <c r="K12" s="1" t="n"/>
      <c r="L12" s="1" t="n"/>
      <c r="M12" s="1" t="n"/>
      <c r="N12" s="16" t="inlineStr">
        <is>
          <t>+5pp</t>
        </is>
      </c>
      <c r="O12" s="1" t="n"/>
      <c r="P12" s="1" t="n"/>
      <c r="Q12" s="1" t="n"/>
      <c r="R12" s="1" t="n"/>
      <c r="S12" s="1" t="n"/>
    </row>
    <row r="13">
      <c r="A13" s="1" t="n"/>
      <c r="B13" s="1" t="n"/>
      <c r="C13" s="9" t="inlineStr">
        <is>
          <t>Debt-Free Year</t>
        </is>
      </c>
      <c r="D13" s="1" t="n"/>
      <c r="E13" s="1" t="n"/>
      <c r="F13" s="14" t="inlineStr">
        <is>
          <t>Year 6</t>
        </is>
      </c>
      <c r="G13" s="1" t="n"/>
      <c r="H13" s="1" t="n"/>
      <c r="I13" s="1" t="n"/>
      <c r="J13" s="27" t="inlineStr">
        <is>
          <t>Year 4-5</t>
        </is>
      </c>
      <c r="K13" s="1" t="n"/>
      <c r="L13" s="1" t="n"/>
      <c r="M13" s="1" t="n"/>
      <c r="N13" s="16" t="inlineStr">
        <is>
          <t>1-2 yrs earlier</t>
        </is>
      </c>
      <c r="O13" s="1" t="n"/>
      <c r="P13" s="1" t="n"/>
      <c r="Q13" s="1" t="n"/>
      <c r="R13" s="1" t="n"/>
      <c r="S13" s="1" t="n"/>
    </row>
    <row r="14">
      <c r="A14" s="1" t="n"/>
      <c r="B14" s="1" t="n"/>
      <c r="C14" s="9" t="inlineStr">
        <is>
          <t>Shariah Compliant Year</t>
        </is>
      </c>
      <c r="D14" s="1" t="n"/>
      <c r="E14" s="1" t="n"/>
      <c r="F14" s="14" t="inlineStr">
        <is>
          <t>Year 3</t>
        </is>
      </c>
      <c r="G14" s="1" t="n"/>
      <c r="H14" s="1" t="n"/>
      <c r="I14" s="1" t="n"/>
      <c r="J14" s="27" t="inlineStr">
        <is>
          <t>Year 2</t>
        </is>
      </c>
      <c r="K14" s="1" t="n"/>
      <c r="L14" s="1" t="n"/>
      <c r="M14" s="1" t="n"/>
      <c r="N14" s="16" t="inlineStr">
        <is>
          <t>1 yr earlier</t>
        </is>
      </c>
      <c r="O14" s="1" t="n"/>
      <c r="P14" s="1" t="n"/>
      <c r="Q14" s="1" t="n"/>
      <c r="R14" s="1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9" t="inlineStr">
        <is>
          <t>Year 5 MoM (6.0x exit)</t>
        </is>
      </c>
      <c r="D16" s="1" t="n"/>
      <c r="E16" s="1" t="n"/>
      <c r="F16" s="14" t="inlineStr">
        <is>
          <t>0.94x</t>
        </is>
      </c>
      <c r="G16" s="1" t="n"/>
      <c r="H16" s="1" t="n"/>
      <c r="I16" s="1" t="n"/>
      <c r="J16" s="27" t="inlineStr">
        <is>
          <t>~1.43x</t>
        </is>
      </c>
      <c r="K16" s="1" t="n"/>
      <c r="L16" s="1" t="n"/>
      <c r="M16" s="1" t="n"/>
      <c r="N16" s="16" t="inlineStr">
        <is>
          <t>+0.49x</t>
        </is>
      </c>
      <c r="O16" s="1" t="n"/>
      <c r="P16" s="1" t="n"/>
      <c r="Q16" s="1" t="n"/>
      <c r="R16" s="1" t="n"/>
      <c r="S16" s="1" t="n"/>
    </row>
    <row r="17">
      <c r="A17" s="1" t="n"/>
      <c r="B17" s="1" t="n"/>
      <c r="C17" s="9" t="inlineStr">
        <is>
          <t>Year 5 IRR (6.0x exit)</t>
        </is>
      </c>
      <c r="D17" s="1" t="n"/>
      <c r="E17" s="1" t="n"/>
      <c r="F17" s="14" t="inlineStr">
        <is>
          <t>-1.2%</t>
        </is>
      </c>
      <c r="G17" s="1" t="n"/>
      <c r="H17" s="1" t="n"/>
      <c r="I17" s="1" t="n"/>
      <c r="J17" s="27" t="inlineStr">
        <is>
          <t>~7.4%</t>
        </is>
      </c>
      <c r="K17" s="1" t="n"/>
      <c r="L17" s="1" t="n"/>
      <c r="M17" s="1" t="n"/>
      <c r="N17" s="16" t="inlineStr">
        <is>
          <t>+8.6pp</t>
        </is>
      </c>
      <c r="O17" s="1" t="n"/>
      <c r="P17" s="1" t="n"/>
      <c r="Q17" s="1" t="n"/>
      <c r="R17" s="1" t="n"/>
      <c r="S17" s="1" t="n"/>
    </row>
    <row r="18">
      <c r="A18" s="1" t="n"/>
      <c r="B18" s="1" t="n"/>
      <c r="C18" s="9" t="inlineStr">
        <is>
          <t>Year 7 MoM (6.0x exit)</t>
        </is>
      </c>
      <c r="D18" s="1" t="n"/>
      <c r="E18" s="1" t="n"/>
      <c r="F18" s="14" t="inlineStr">
        <is>
          <t>1.15x</t>
        </is>
      </c>
      <c r="G18" s="1" t="n"/>
      <c r="H18" s="1" t="n"/>
      <c r="I18" s="1" t="n"/>
      <c r="J18" s="27" t="inlineStr">
        <is>
          <t>~1.80x</t>
        </is>
      </c>
      <c r="K18" s="1" t="n"/>
      <c r="L18" s="1" t="n"/>
      <c r="M18" s="1" t="n"/>
      <c r="N18" s="16" t="inlineStr">
        <is>
          <t>+0.65x</t>
        </is>
      </c>
      <c r="O18" s="1" t="n"/>
      <c r="P18" s="1" t="n"/>
      <c r="Q18" s="1" t="n"/>
      <c r="R18" s="1" t="n"/>
      <c r="S18" s="1" t="n"/>
    </row>
    <row r="19">
      <c r="A19" s="1" t="n"/>
      <c r="B19" s="1" t="n"/>
      <c r="C19" s="9" t="inlineStr">
        <is>
          <t>Year 7 IRR (6.0x exit)</t>
        </is>
      </c>
      <c r="D19" s="1" t="n"/>
      <c r="E19" s="1" t="n"/>
      <c r="F19" s="14" t="inlineStr">
        <is>
          <t>2.0%</t>
        </is>
      </c>
      <c r="G19" s="1" t="n"/>
      <c r="H19" s="1" t="n"/>
      <c r="I19" s="1" t="n"/>
      <c r="J19" s="27" t="inlineStr">
        <is>
          <t>~8.8%</t>
        </is>
      </c>
      <c r="K19" s="1" t="n"/>
      <c r="L19" s="1" t="n"/>
      <c r="M19" s="1" t="n"/>
      <c r="N19" s="16" t="inlineStr">
        <is>
          <t>+6.8pp</t>
        </is>
      </c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9" t="inlineStr">
        <is>
          <t>Year 5 MoM (8.0x exit)</t>
        </is>
      </c>
      <c r="D21" s="1" t="n"/>
      <c r="E21" s="1" t="n"/>
      <c r="F21" s="14" t="inlineStr">
        <is>
          <t>1.30x</t>
        </is>
      </c>
      <c r="G21" s="1" t="n"/>
      <c r="H21" s="1" t="n"/>
      <c r="I21" s="1" t="n"/>
      <c r="J21" s="27" t="inlineStr">
        <is>
          <t>~2.10x</t>
        </is>
      </c>
      <c r="K21" s="1" t="n"/>
      <c r="L21" s="1" t="n"/>
      <c r="M21" s="1" t="n"/>
      <c r="N21" s="16" t="inlineStr">
        <is>
          <t>+0.80x</t>
        </is>
      </c>
      <c r="O21" s="1" t="n"/>
      <c r="P21" s="1" t="n"/>
      <c r="Q21" s="1" t="n"/>
      <c r="R21" s="1" t="n"/>
      <c r="S21" s="1" t="n"/>
    </row>
    <row r="22">
      <c r="A22" s="1" t="n"/>
      <c r="B22" s="1" t="n"/>
      <c r="C22" s="9" t="inlineStr">
        <is>
          <t>Year 5 IRR (8.0x exit)</t>
        </is>
      </c>
      <c r="D22" s="1" t="n"/>
      <c r="E22" s="1" t="n"/>
      <c r="F22" s="14" t="inlineStr">
        <is>
          <t>5.4%</t>
        </is>
      </c>
      <c r="G22" s="1" t="n"/>
      <c r="H22" s="1" t="n"/>
      <c r="I22" s="1" t="n"/>
      <c r="J22" s="27" t="inlineStr">
        <is>
          <t>~16.0%</t>
        </is>
      </c>
      <c r="K22" s="1" t="n"/>
      <c r="L22" s="1" t="n"/>
      <c r="M22" s="1" t="n"/>
      <c r="N22" s="16" t="inlineStr">
        <is>
          <t>+10.6pp</t>
        </is>
      </c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8" t="inlineStr">
        <is>
          <t>MURSHIDI AI — STRUCTURAL DIAGNOSIS</t>
        </is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5" t="inlineStr">
        <is>
          <t>SURFACE PROBLEM:</t>
        </is>
      </c>
      <c r="D27" s="1" t="n"/>
      <c r="E27" s="1" t="n"/>
      <c r="F27" s="9" t="inlineStr">
        <is>
          <t>v1 yields 0.94x MoM / -1.2% IRR at Year 5. Unacceptable for PE rescue fund.</t>
        </is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5" t="inlineStr">
        <is>
          <t>STRUCTURAL PROBLEM:</t>
        </is>
      </c>
      <c r="D29" s="1" t="n"/>
      <c r="E29" s="1" t="n"/>
      <c r="F29" s="9" t="inlineStr">
        <is>
          <t>ALiF was paying 95 cents for a dollar. The SRFF-I Expected Loss (27.46%) is the MODEL output — not the NEGOTIATION floor.</t>
        </is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9" t="inlineStr">
        <is>
          <t>Banks face 61.55% PD. In Omani liquidation, they recover 30-40 cents. At 55 cents, they are GRATEFUL.</t>
        </is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5" t="inlineStr">
        <is>
          <t>THREE STRUCTURAL FIXES: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9" t="inlineStr">
        <is>
          <t>1. Deeper haircut (45%)</t>
        </is>
      </c>
      <c r="D33" s="1" t="n"/>
      <c r="E33" s="1" t="n"/>
      <c r="F33" s="9" t="inlineStr">
        <is>
          <t>Negotiate from strength: banks face NPL provisioning pressure, CBO scrutiny, and worse liquidation outcome.</t>
        </is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9" t="inlineStr">
        <is>
          <t>2. Less retained debt (5M)</t>
        </is>
      </c>
      <c r="D34" s="1" t="n"/>
      <c r="E34" s="1" t="n"/>
      <c r="F34" s="9" t="inlineStr">
        <is>
          <t>Convert more to equity. Faster deleverage, earlier Shariah compliance, better credit metrics for refinancing.</t>
        </is>
      </c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9" t="inlineStr">
        <is>
          <t>3. Warrant kicker (+5%)</t>
        </is>
      </c>
      <c r="D35" s="1" t="n"/>
      <c r="E35" s="1" t="n"/>
      <c r="F35" s="9" t="inlineStr">
        <is>
          <t>Rescue tranche carries warrants. ALiF gets 85% fully diluted. Standard PE rescue structure.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5" t="inlineStr">
        <is>
          <t>REVEALED VALUE:</t>
        </is>
      </c>
      <c r="D37" s="1" t="n"/>
      <c r="E37" s="1" t="n"/>
      <c r="F37" s="9" t="inlineStr">
        <is>
          <t>At 45% haircut, ALiF enters at OMR 13.7M for a business generating OMR 3.8M EBITDA by Year 5.</t>
        </is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9" t="inlineStr">
        <is>
          <t>At 8.0x exit (reasonable for debt-free pharma), Year 5 MoM = 2.1x, IRR = 16%. THIS is a PE deal.</t>
        </is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4" t="inlineStr">
        <is>
          <t>Powered by MURSHIDI Ai — Solving Patterns, Revealing Value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2026-04-19T19:11:00Z</dcterms:created>
  <dcterms:modified xmlns:dcterms="http://purl.org/dc/terms/" xmlns:xsi="http://www.w3.org/2001/XMLSchema-instance" xsi:type="dcterms:W3CDTF">2026-04-19T19:11:00Z</dcterms:modified>
</cp:coreProperties>
</file>